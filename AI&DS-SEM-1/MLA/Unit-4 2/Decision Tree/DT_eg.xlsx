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f9abce5925d8595b/Desktop/MLA - UNIT 4/"/>
    </mc:Choice>
  </mc:AlternateContent>
  <xr:revisionPtr revIDLastSave="6" documentId="11_7CDFCC623F2525F14D4FF5C2911E76CDF1580662" xr6:coauthVersionLast="47" xr6:coauthVersionMax="47" xr10:uidLastSave="{58DDD13A-1E14-4CFA-A4BC-D5D0FCADFAD9}"/>
  <bookViews>
    <workbookView xWindow="-108" yWindow="-108" windowWidth="23256" windowHeight="12456" xr2:uid="{00000000-000D-0000-FFFF-FFFF00000000}"/>
  </bookViews>
  <sheets>
    <sheet name="Play Example" sheetId="3" r:id="rId1"/>
    <sheet name="Example 1" sheetId="1" r:id="rId2"/>
    <sheet name="Example 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Ly6LcZADGZTU9JKweopkLzK8mFw=="/>
    </ext>
  </extLst>
</workbook>
</file>

<file path=xl/calcChain.xml><?xml version="1.0" encoding="utf-8"?>
<calcChain xmlns="http://schemas.openxmlformats.org/spreadsheetml/2006/main">
  <c r="B25" i="3" l="1"/>
  <c r="H42" i="1"/>
  <c r="J43" i="3"/>
  <c r="J45" i="3" s="1"/>
  <c r="J41" i="3"/>
  <c r="J37" i="3"/>
  <c r="J39" i="3" s="1"/>
  <c r="J35" i="3"/>
  <c r="J27" i="3"/>
  <c r="E19" i="3"/>
  <c r="H123" i="2"/>
  <c r="H124" i="2" s="1"/>
  <c r="H121" i="2"/>
  <c r="H118" i="2"/>
  <c r="H119" i="2" s="1"/>
  <c r="H126" i="2" s="1"/>
  <c r="H116" i="2"/>
  <c r="H105" i="2"/>
  <c r="H106" i="2" s="1"/>
  <c r="H103" i="2"/>
  <c r="H100" i="2"/>
  <c r="H101" i="2" s="1"/>
  <c r="H98" i="2"/>
  <c r="H91" i="2"/>
  <c r="H74" i="2"/>
  <c r="H73" i="2"/>
  <c r="H76" i="2" s="1"/>
  <c r="H71" i="2"/>
  <c r="H78" i="2" s="1"/>
  <c r="H80" i="2" s="1"/>
  <c r="H69" i="2"/>
  <c r="H68" i="2"/>
  <c r="H59" i="2"/>
  <c r="H57" i="2"/>
  <c r="H56" i="2"/>
  <c r="H52" i="2"/>
  <c r="H54" i="2" s="1"/>
  <c r="H61" i="2" s="1"/>
  <c r="H63" i="2" s="1"/>
  <c r="H50" i="2"/>
  <c r="H39" i="2"/>
  <c r="H41" i="2" s="1"/>
  <c r="H37" i="2"/>
  <c r="H33" i="2"/>
  <c r="H35" i="2" s="1"/>
  <c r="H31" i="2"/>
  <c r="H22" i="2"/>
  <c r="H79" i="1"/>
  <c r="H78" i="1"/>
  <c r="H81" i="1" s="1"/>
  <c r="H74" i="1"/>
  <c r="H73" i="1"/>
  <c r="H76" i="1" s="1"/>
  <c r="H83" i="1" s="1"/>
  <c r="H85" i="1" s="1"/>
  <c r="H68" i="1"/>
  <c r="H66" i="1"/>
  <c r="H64" i="1"/>
  <c r="H62" i="1"/>
  <c r="H61" i="1"/>
  <c r="H59" i="1"/>
  <c r="H57" i="1"/>
  <c r="H55" i="1"/>
  <c r="H50" i="1"/>
  <c r="H48" i="1"/>
  <c r="H46" i="1"/>
  <c r="H44" i="1"/>
  <c r="H41" i="1"/>
  <c r="H37" i="1"/>
  <c r="H35" i="1"/>
  <c r="H33" i="1"/>
  <c r="H31" i="1"/>
  <c r="H22" i="1"/>
  <c r="H43" i="2" l="1"/>
  <c r="H45" i="2" s="1"/>
  <c r="J47" i="3"/>
  <c r="J49" i="3" s="1"/>
  <c r="H108" i="2"/>
  <c r="H110" i="2" s="1"/>
  <c r="H128" i="2"/>
</calcChain>
</file>

<file path=xl/sharedStrings.xml><?xml version="1.0" encoding="utf-8"?>
<sst xmlns="http://schemas.openxmlformats.org/spreadsheetml/2006/main" count="511" uniqueCount="203">
  <si>
    <t>Age</t>
  </si>
  <si>
    <t>Competition</t>
  </si>
  <si>
    <t>Type</t>
  </si>
  <si>
    <t>Profit</t>
  </si>
  <si>
    <t>old</t>
  </si>
  <si>
    <t>yes</t>
  </si>
  <si>
    <t>S/W</t>
  </si>
  <si>
    <t>Down</t>
  </si>
  <si>
    <t>Information Gain</t>
  </si>
  <si>
    <t>no</t>
  </si>
  <si>
    <t>H/W</t>
  </si>
  <si>
    <t>mid</t>
  </si>
  <si>
    <t>Up</t>
  </si>
  <si>
    <t>new</t>
  </si>
  <si>
    <t xml:space="preserve">STEP 1 : </t>
  </si>
  <si>
    <t>Target Attribute is Profit. Based on age, competition, type - we have to fond out profit.</t>
  </si>
  <si>
    <t>STEP 2 :</t>
  </si>
  <si>
    <t>Information gain of profit.</t>
  </si>
  <si>
    <t>IG = -[(P/P+N   log(P/P+N)) + N/P+N  log(N/P+N)]</t>
  </si>
  <si>
    <t>P = Count of Down - 5</t>
  </si>
  <si>
    <t>N = Count of Up - 5</t>
  </si>
  <si>
    <t>IG(Profit):</t>
  </si>
  <si>
    <t>(((0.5)*LOG(0.5,2))+(0.5*LOG(0.5,2)))</t>
  </si>
  <si>
    <t>IG(Profit)</t>
  </si>
  <si>
    <t>STEP 3 :</t>
  </si>
  <si>
    <t>Information gain of Age</t>
  </si>
  <si>
    <t>Entropy(Age)</t>
  </si>
  <si>
    <r>
      <rPr>
        <b/>
        <sz val="11"/>
        <color rgb="FFFF0000"/>
        <rFont val="Calibri"/>
      </rPr>
      <t xml:space="preserve">E(A) = </t>
    </r>
    <r>
      <rPr>
        <sz val="11"/>
        <color theme="1"/>
        <rFont val="Calibri"/>
      </rPr>
      <t>Ʃ (Pi + Ni) / (P + N)  *  IG (PiNi)</t>
    </r>
  </si>
  <si>
    <t>Age : old, mid, new</t>
  </si>
  <si>
    <t>IG(Old):</t>
  </si>
  <si>
    <t>IG(old)</t>
  </si>
  <si>
    <t>Probability</t>
  </si>
  <si>
    <t>Entropy(Old)</t>
  </si>
  <si>
    <t>IG(old) * Probability</t>
  </si>
  <si>
    <t>IG(mid):</t>
  </si>
  <si>
    <t>IG(mid)</t>
  </si>
  <si>
    <t>Entropy(mid)</t>
  </si>
  <si>
    <t>IG(mid) * Probability</t>
  </si>
  <si>
    <t>IG(new)</t>
  </si>
  <si>
    <t>Entropy(new)</t>
  </si>
  <si>
    <t>IG(new) * Probability</t>
  </si>
  <si>
    <t>Entropy(AGE)</t>
  </si>
  <si>
    <t>Entropy(old)+Entropy(mid)+Entropy(new)</t>
  </si>
  <si>
    <t>IG(Age)</t>
  </si>
  <si>
    <t>IG(Profit)-Entropy(Age)</t>
  </si>
  <si>
    <t>STEP 4 :</t>
  </si>
  <si>
    <t>Information gain of Type</t>
  </si>
  <si>
    <t>Entropy(Type) - S/W and H/W</t>
  </si>
  <si>
    <t>((0.5*LOG(0.5,2))+(0.5*LOG(0.5,2)))</t>
  </si>
  <si>
    <t>IG(S/W):</t>
  </si>
  <si>
    <t>IG(S/W)</t>
  </si>
  <si>
    <t>Entropy(S/W)</t>
  </si>
  <si>
    <t>IG(S/W) * Probability</t>
  </si>
  <si>
    <t>IG(H/W):</t>
  </si>
  <si>
    <t>Entropy(H/W)</t>
  </si>
  <si>
    <t>IG(H/W) * Probability</t>
  </si>
  <si>
    <t>Entropy(Type)</t>
  </si>
  <si>
    <t>Entropy(S/W)+Entropy(H/W)</t>
  </si>
  <si>
    <t>IG(Type)</t>
  </si>
  <si>
    <t>IG(Profit)-Entropy(Type)</t>
  </si>
  <si>
    <t>STEP 5 :</t>
  </si>
  <si>
    <t>Information gain of Competition</t>
  </si>
  <si>
    <t>Entropy(Competition) - Yes and No</t>
  </si>
  <si>
    <t>Yes</t>
  </si>
  <si>
    <t>((0.75*LOG(0.75,2))+(0.25*LOG(0.25,2)))</t>
  </si>
  <si>
    <t>IG(Yes):</t>
  </si>
  <si>
    <t>No</t>
  </si>
  <si>
    <t>((0.33*LOG(0.33,2))+(0.66*LOG(0.66,2)))</t>
  </si>
  <si>
    <t>Decision Tree</t>
  </si>
  <si>
    <t>Entropy(Yes)</t>
  </si>
  <si>
    <t>IG(Yes) * Probability</t>
  </si>
  <si>
    <t>IG(No):</t>
  </si>
  <si>
    <t>New</t>
  </si>
  <si>
    <t>Old</t>
  </si>
  <si>
    <t>Entropy(No)</t>
  </si>
  <si>
    <t>IG(No) * Probability</t>
  </si>
  <si>
    <t>Mid</t>
  </si>
  <si>
    <t>Entropy(Competition)</t>
  </si>
  <si>
    <t>Entropy(Yes)+Entropy(No)</t>
  </si>
  <si>
    <t>IG(Competition)</t>
  </si>
  <si>
    <t>IG(Profit)-Entropy(Competition)</t>
  </si>
  <si>
    <t>Past Trend</t>
  </si>
  <si>
    <t>Open Interest</t>
  </si>
  <si>
    <t>Trading Volume</t>
  </si>
  <si>
    <t>Return</t>
  </si>
  <si>
    <t>Positive</t>
  </si>
  <si>
    <t>Low</t>
  </si>
  <si>
    <t>High</t>
  </si>
  <si>
    <t>Negative</t>
  </si>
  <si>
    <t>Target Attribute is Return. Based on PastTrend, Open Interest, Trading Volume - we have to find out Return.</t>
  </si>
  <si>
    <t>Information gain of Return.</t>
  </si>
  <si>
    <t>P = Count of Down - 6</t>
  </si>
  <si>
    <t>N = Count of Up - 4</t>
  </si>
  <si>
    <t>IG(Return):</t>
  </si>
  <si>
    <t>(((0.4)*LOG(0.4,2))+(0.6*LOG(0.6,2)))</t>
  </si>
  <si>
    <t>IG(Return)</t>
  </si>
  <si>
    <t>Information gain of Past Trend</t>
  </si>
  <si>
    <t>Entropy(PT)</t>
  </si>
  <si>
    <r>
      <rPr>
        <b/>
        <sz val="11"/>
        <color rgb="FFFF0000"/>
        <rFont val="Calibri"/>
      </rPr>
      <t xml:space="preserve">E(A) = </t>
    </r>
    <r>
      <rPr>
        <sz val="11"/>
        <color theme="1"/>
        <rFont val="Calibri"/>
      </rPr>
      <t>Ʃ (Pi + Ni) / (P + N)  *  IG (PiNi)</t>
    </r>
  </si>
  <si>
    <t>Age : Positive,Negative</t>
  </si>
  <si>
    <t>PastTrend</t>
  </si>
  <si>
    <t>IG(Pos):</t>
  </si>
  <si>
    <t>(((4/6)*LOG((4/6),2))+((2/6)*LOG((2/6),2)))</t>
  </si>
  <si>
    <t>(((0/4)*LOG((0/4),2))+((4/4)*LOG((4/4),2)))</t>
  </si>
  <si>
    <t>IG(Pos)</t>
  </si>
  <si>
    <t>Entropy(Pos)</t>
  </si>
  <si>
    <t>IG(Pos) * Probability</t>
  </si>
  <si>
    <t>IG(Neg):</t>
  </si>
  <si>
    <t>IG(Neg)</t>
  </si>
  <si>
    <t>Entropy(Neg)</t>
  </si>
  <si>
    <t>IG(Neg) * Probability</t>
  </si>
  <si>
    <t>Entropy(Past Trend)</t>
  </si>
  <si>
    <t>Entropy(Positive)+Entropy(Negative)</t>
  </si>
  <si>
    <t>IG(PastTrend)</t>
  </si>
  <si>
    <t>IG(Return)-Entropy(PastTrend)</t>
  </si>
  <si>
    <t>Information gain of OpenInterest</t>
  </si>
  <si>
    <t>OpenInterest</t>
  </si>
  <si>
    <t>Entropy(OI) - Low and High</t>
  </si>
  <si>
    <t>(((2/6)*LOG((2/6),2))+((4/6)*LOG((4/6),2)))</t>
  </si>
  <si>
    <t>IG(Low):</t>
  </si>
  <si>
    <t>(((2/4)*LOG((2/4),2))+((2/4)*LOG((2/4),2)))</t>
  </si>
  <si>
    <t>IG(Low)</t>
  </si>
  <si>
    <t>Entropy(Low)</t>
  </si>
  <si>
    <t>IG(Low) * Probability</t>
  </si>
  <si>
    <t>IG(High):</t>
  </si>
  <si>
    <t>Entropy(High)</t>
  </si>
  <si>
    <t>IG(High) * Probability</t>
  </si>
  <si>
    <t>Entropy(OpenInterest)</t>
  </si>
  <si>
    <t>Entropy(Low)+Entropy(High)</t>
  </si>
  <si>
    <t>IG(OpenInterest)</t>
  </si>
  <si>
    <t>IG(Return)-Entropy(OpenInterest)</t>
  </si>
  <si>
    <t>Information gain of Trading Volume</t>
  </si>
  <si>
    <t>Entropy(TV) - Low and High</t>
  </si>
  <si>
    <t>(((0/3)*LOG((0/3),2))+((3/3)*LOG((3/3),2)))</t>
  </si>
  <si>
    <t>(((4/7)*LOG((4/7),2))+((3/7)*LOG((3/7),2)))</t>
  </si>
  <si>
    <t>Entropy(TradingVolume)</t>
  </si>
  <si>
    <t>IG(TradingVolume)</t>
  </si>
  <si>
    <t>IG(Return)-Entropy(TradingVolume)</t>
  </si>
  <si>
    <t>ITERATION 2:</t>
  </si>
  <si>
    <t>Target Attribute is Return. Based on  Open Interest, Trading Volume - we have to find out Return.</t>
  </si>
  <si>
    <t xml:space="preserve">                   Low</t>
  </si>
  <si>
    <t>P = Count of Down - 2</t>
  </si>
  <si>
    <t>(((0.33)*LOG(0.33,2))+(0.66*LOG(0.66,2)))</t>
  </si>
  <si>
    <t>Entropy(OI)</t>
  </si>
  <si>
    <r>
      <rPr>
        <b/>
        <sz val="11"/>
        <color rgb="FFFF0000"/>
        <rFont val="Calibri"/>
      </rPr>
      <t xml:space="preserve">E(A) = </t>
    </r>
    <r>
      <rPr>
        <sz val="11"/>
        <color theme="1"/>
        <rFont val="Calibri"/>
      </rPr>
      <t>Ʃ (Pi + Ni) / (P + N)  *  IG (PiNi)</t>
    </r>
  </si>
  <si>
    <t>Age : Low,High</t>
  </si>
  <si>
    <t>IG(High)</t>
  </si>
  <si>
    <t>TradingVolume</t>
  </si>
  <si>
    <t>Information gain ofTradingVolume</t>
  </si>
  <si>
    <t>Entropy(TV)</t>
  </si>
  <si>
    <r>
      <rPr>
        <b/>
        <sz val="11"/>
        <color rgb="FFFF0000"/>
        <rFont val="Calibri"/>
      </rPr>
      <t xml:space="preserve">E(A) = </t>
    </r>
    <r>
      <rPr>
        <sz val="11"/>
        <color theme="1"/>
        <rFont val="Calibri"/>
      </rPr>
      <t>Ʃ (Pi + Ni) / (P + N)  *  IG (PiNi)</t>
    </r>
  </si>
  <si>
    <t>IG(TV)</t>
  </si>
  <si>
    <t>IG(Return)-Entropy(TV)</t>
  </si>
  <si>
    <t>Outlook</t>
  </si>
  <si>
    <t>Temperature</t>
  </si>
  <si>
    <t>Humidity</t>
  </si>
  <si>
    <t>Wind</t>
  </si>
  <si>
    <t>Play Golf</t>
  </si>
  <si>
    <t>D1</t>
  </si>
  <si>
    <t>Sunny</t>
  </si>
  <si>
    <t>Hot</t>
  </si>
  <si>
    <t>Weak</t>
  </si>
  <si>
    <t>D2</t>
  </si>
  <si>
    <t>Strong</t>
  </si>
  <si>
    <t>D3</t>
  </si>
  <si>
    <t>Overcast</t>
  </si>
  <si>
    <t>D4</t>
  </si>
  <si>
    <t>Rain</t>
  </si>
  <si>
    <t>Mild</t>
  </si>
  <si>
    <t>D5</t>
  </si>
  <si>
    <t>Cool</t>
  </si>
  <si>
    <t>Normal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</si>
  <si>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</si>
  <si>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</si>
  <si>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</si>
  <si>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</si>
  <si>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</si>
  <si>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</si>
  <si>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</si>
  <si>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</si>
  <si>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</si>
  <si>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Target Attribute is Play Golf. Based on outlook, temperature, Humidity, wind - we have to find out Play Golf.</t>
  </si>
  <si>
    <t>Information gain of PlayGolf.</t>
  </si>
  <si>
    <t>P = Count of No - 5</t>
  </si>
  <si>
    <t>N = Count of Yes - 9</t>
  </si>
  <si>
    <t>IG(PlayGolf):</t>
  </si>
  <si>
    <t>(((5/14)*LOG((5/14),2))+((9/14)*LOG((9/14),2)))</t>
  </si>
  <si>
    <t>IG(Play Golf)</t>
  </si>
  <si>
    <t>Information gain of Wind</t>
  </si>
  <si>
    <t>Entropy(Wind)</t>
  </si>
  <si>
    <r>
      <rPr>
        <b/>
        <sz val="11"/>
        <color rgb="FFFF0000"/>
        <rFont val="Calibri"/>
      </rPr>
      <t xml:space="preserve">E(A) = </t>
    </r>
    <r>
      <rPr>
        <sz val="11"/>
        <color theme="1"/>
        <rFont val="Calibri"/>
      </rPr>
      <t>Ʃ (Pi + Ni) / (P + N)  *  IG (PiNi)</t>
    </r>
  </si>
  <si>
    <t>Age : Strong,Weak</t>
  </si>
  <si>
    <t>IG(Strong):</t>
  </si>
  <si>
    <t>IG(Strong)</t>
  </si>
  <si>
    <t>Entropy(Strong)</t>
  </si>
  <si>
    <t>IG(Strong) * Probability</t>
  </si>
  <si>
    <t>IG(Weak):</t>
  </si>
  <si>
    <t>IG(weak)</t>
  </si>
  <si>
    <t>Entropy(weak)</t>
  </si>
  <si>
    <t>IG(weak) * Probability</t>
  </si>
  <si>
    <t>Entropy(Strong)+Entropy(Weak)</t>
  </si>
  <si>
    <t>IG(Wind)</t>
  </si>
  <si>
    <t>IG(Play Golf)-Entropy(Wnd)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</si>
</sst>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b/>
      <sz val="11"/>
      <color rgb="FF0070C0"/>
      <name val="Calibri"/>
    </font>
    <font>
      <b/>
      <sz val="11"/>
      <color rgb="FFFF0000"/>
      <name val="Calibri"/>
    </font>
    <font>
      <sz val="11"/>
      <color theme="1"/>
      <name val="Calibri"/>
      <scheme val="minor"/>
    </font>
    <font>
      <b/>
      <sz val="14"/>
      <color rgb="FF0070C0"/>
      <name val="Calibri"/>
    </font>
    <font>
      <b/>
      <sz val="11"/>
      <color rgb="FF45454A"/>
      <name val="Roboto"/>
    </font>
    <font>
      <sz val="11"/>
      <color rgb="FF45454A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/>
    <xf numFmtId="0" fontId="4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/>
    <xf numFmtId="164" fontId="2" fillId="0" borderId="1" xfId="0" applyNumberFormat="1" applyFont="1" applyBorder="1"/>
    <xf numFmtId="164" fontId="2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left"/>
    </xf>
    <xf numFmtId="0" fontId="8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7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714375</xdr:colOff>
      <xdr:row>80</xdr:row>
      <xdr:rowOff>95250</xdr:rowOff>
    </xdr:from>
    <xdr:ext cx="1238250" cy="4381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36400" y="3565688"/>
          <a:ext cx="1219200" cy="428625"/>
        </a:xfrm>
        <a:prstGeom prst="ellipse">
          <a:avLst/>
        </a:prstGeom>
        <a:solidFill>
          <a:srgbClr val="A8D08C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Competition</a:t>
          </a:r>
          <a:endParaRPr sz="1400"/>
        </a:p>
      </xdr:txBody>
    </xdr:sp>
    <xdr:clientData fLocksWithSheet="0"/>
  </xdr:oneCellAnchor>
  <xdr:oneCellAnchor>
    <xdr:from>
      <xdr:col>12</xdr:col>
      <xdr:colOff>133350</xdr:colOff>
      <xdr:row>75</xdr:row>
      <xdr:rowOff>57150</xdr:rowOff>
    </xdr:from>
    <xdr:ext cx="923925" cy="561975"/>
    <xdr:sp macro="" textlink="">
      <xdr:nvSpPr>
        <xdr:cNvPr id="4" name="Shape 4" descr="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888800" y="3503775"/>
          <a:ext cx="914400" cy="552450"/>
        </a:xfrm>
        <a:prstGeom prst="ellipse">
          <a:avLst/>
        </a:prstGeom>
        <a:solidFill>
          <a:srgbClr val="FEE599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   AGE</a:t>
          </a:r>
          <a:endParaRPr sz="1400"/>
        </a:p>
      </xdr:txBody>
    </xdr:sp>
    <xdr:clientData fLocksWithSheet="0"/>
  </xdr:oneCellAnchor>
  <xdr:oneCellAnchor>
    <xdr:from>
      <xdr:col>14</xdr:col>
      <xdr:colOff>495300</xdr:colOff>
      <xdr:row>77</xdr:row>
      <xdr:rowOff>123825</xdr:rowOff>
    </xdr:from>
    <xdr:ext cx="904875" cy="4191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898325" y="3575213"/>
          <a:ext cx="895350" cy="409575"/>
        </a:xfrm>
        <a:prstGeom prst="ellipse">
          <a:avLst/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     </a:t>
          </a: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Up</a:t>
          </a:r>
          <a:endParaRPr sz="1400"/>
        </a:p>
      </xdr:txBody>
    </xdr:sp>
    <xdr:clientData fLocksWithSheet="0"/>
  </xdr:oneCellAnchor>
  <xdr:oneCellAnchor>
    <xdr:from>
      <xdr:col>9</xdr:col>
      <xdr:colOff>800100</xdr:colOff>
      <xdr:row>77</xdr:row>
      <xdr:rowOff>152400</xdr:rowOff>
    </xdr:from>
    <xdr:ext cx="904875" cy="4286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898325" y="3570450"/>
          <a:ext cx="895350" cy="419100"/>
        </a:xfrm>
        <a:prstGeom prst="ellipse">
          <a:avLst/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  </a:t>
          </a: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Down</a:t>
          </a:r>
          <a:endParaRPr sz="1400"/>
        </a:p>
      </xdr:txBody>
    </xdr:sp>
    <xdr:clientData fLocksWithSheet="0"/>
  </xdr:oneCellAnchor>
  <xdr:oneCellAnchor>
    <xdr:from>
      <xdr:col>9</xdr:col>
      <xdr:colOff>933450</xdr:colOff>
      <xdr:row>85</xdr:row>
      <xdr:rowOff>66675</xdr:rowOff>
    </xdr:from>
    <xdr:ext cx="904875" cy="4286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898325" y="3570450"/>
          <a:ext cx="895350" cy="419100"/>
        </a:xfrm>
        <a:prstGeom prst="ellipse">
          <a:avLst/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  Down</a:t>
          </a:r>
          <a:endParaRPr sz="1100" b="1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0</xdr:colOff>
      <xdr:row>85</xdr:row>
      <xdr:rowOff>28575</xdr:rowOff>
    </xdr:from>
    <xdr:ext cx="923925" cy="4191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4888800" y="3579975"/>
          <a:ext cx="914400" cy="400050"/>
        </a:xfrm>
        <a:prstGeom prst="ellipse">
          <a:avLst/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     </a:t>
          </a: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Up</a:t>
          </a:r>
          <a:endParaRPr sz="1100" b="1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13</xdr:col>
      <xdr:colOff>-19050</xdr:colOff>
      <xdr:row>78</xdr:row>
      <xdr:rowOff>76200</xdr:rowOff>
    </xdr:from>
    <xdr:ext cx="38100" cy="3810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1852910" y="13860780"/>
          <a:ext cx="38100" cy="381000"/>
          <a:chOff x="5346000" y="3589500"/>
          <a:chExt cx="0" cy="381000"/>
        </a:xfrm>
      </xdr:grpSpPr>
      <xdr:cxnSp macro="">
        <xdr:nvCxn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CxnSpPr>
            <a:stCxn id="4" idx="4"/>
            <a:endCxn id="3" idx="0"/>
          </xdr:cNvCxnSpPr>
        </xdr:nvCxnSpPr>
        <xdr:spPr>
          <a:xfrm>
            <a:off x="5346000" y="3589500"/>
            <a:ext cx="0" cy="381000"/>
          </a:xfrm>
          <a:prstGeom prst="straightConnector1">
            <a:avLst/>
          </a:prstGeom>
          <a:noFill/>
          <a:ln w="12700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10</xdr:col>
      <xdr:colOff>581025</xdr:colOff>
      <xdr:row>76</xdr:row>
      <xdr:rowOff>152400</xdr:rowOff>
    </xdr:from>
    <xdr:ext cx="895350" cy="25717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10502265" y="13586460"/>
          <a:ext cx="895350" cy="257175"/>
          <a:chOff x="4907850" y="3656175"/>
          <a:chExt cx="876300" cy="247500"/>
        </a:xfrm>
      </xdr:grpSpPr>
      <xdr:cxnSp macro="">
        <xdr:nvCxnSpPr>
          <xdr:cNvPr id="11" name="Shape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CxnSpPr>
            <a:stCxn id="4" idx="2"/>
            <a:endCxn id="6" idx="7"/>
          </xdr:cNvCxnSpPr>
        </xdr:nvCxnSpPr>
        <xdr:spPr>
          <a:xfrm flipH="1">
            <a:off x="4907850" y="3656175"/>
            <a:ext cx="876300" cy="247500"/>
          </a:xfrm>
          <a:prstGeom prst="straightConnector1">
            <a:avLst/>
          </a:prstGeom>
          <a:noFill/>
          <a:ln w="12700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10</xdr:col>
      <xdr:colOff>581025</xdr:colOff>
      <xdr:row>82</xdr:row>
      <xdr:rowOff>152400</xdr:rowOff>
    </xdr:from>
    <xdr:ext cx="1038225" cy="4953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0502265" y="14638020"/>
          <a:ext cx="1038225" cy="495300"/>
          <a:chOff x="4831650" y="3537113"/>
          <a:chExt cx="1028700" cy="485775"/>
        </a:xfrm>
      </xdr:grpSpPr>
      <xdr:cxnSp macro="">
        <xdr:nvCxnSpPr>
          <xdr:cNvPr id="13" name="Shape 11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CxnSpPr/>
        </xdr:nvCxnSpPr>
        <xdr:spPr>
          <a:xfrm flipH="1">
            <a:off x="4831650" y="3537113"/>
            <a:ext cx="1028700" cy="485775"/>
          </a:xfrm>
          <a:prstGeom prst="straightConnector1">
            <a:avLst/>
          </a:prstGeom>
          <a:noFill/>
          <a:ln w="12700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466725</xdr:colOff>
      <xdr:row>76</xdr:row>
      <xdr:rowOff>152400</xdr:rowOff>
    </xdr:from>
    <xdr:ext cx="742950" cy="2286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12338685" y="13586460"/>
          <a:ext cx="742950" cy="228600"/>
          <a:chOff x="4984050" y="3675225"/>
          <a:chExt cx="723900" cy="209400"/>
        </a:xfrm>
      </xdr:grpSpPr>
      <xdr:cxnSp macro="">
        <xdr:nvCxnSpPr>
          <xdr:cNvPr id="15" name="Shape 12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CxnSpPr>
            <a:stCxn id="4" idx="6"/>
            <a:endCxn id="5" idx="1"/>
          </xdr:cNvCxnSpPr>
        </xdr:nvCxnSpPr>
        <xdr:spPr>
          <a:xfrm>
            <a:off x="4984050" y="3675225"/>
            <a:ext cx="723900" cy="209400"/>
          </a:xfrm>
          <a:prstGeom prst="straightConnector1">
            <a:avLst/>
          </a:prstGeom>
          <a:noFill/>
          <a:ln w="12700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323850</xdr:colOff>
      <xdr:row>82</xdr:row>
      <xdr:rowOff>104775</xdr:rowOff>
    </xdr:from>
    <xdr:ext cx="904875" cy="657225"/>
    <xdr:grpSp>
      <xdr:nvGrpSpPr>
        <xdr:cNvPr id="16" name="Shape 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12195810" y="14590395"/>
          <a:ext cx="904875" cy="657225"/>
          <a:chOff x="4898325" y="3456150"/>
          <a:chExt cx="895350" cy="647700"/>
        </a:xfrm>
      </xdr:grpSpPr>
      <xdr:cxnSp macro="">
        <xdr:nvCxnSpPr>
          <xdr:cNvPr id="17" name="Shape 13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CxnSpPr/>
        </xdr:nvCxnSpPr>
        <xdr:spPr>
          <a:xfrm>
            <a:off x="4898325" y="3456150"/>
            <a:ext cx="895350" cy="647700"/>
          </a:xfrm>
          <a:prstGeom prst="straightConnector1">
            <a:avLst/>
          </a:prstGeom>
          <a:noFill/>
          <a:ln w="12700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609600</xdr:colOff>
      <xdr:row>81</xdr:row>
      <xdr:rowOff>114300</xdr:rowOff>
    </xdr:from>
    <xdr:ext cx="1724025" cy="4381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4488750" y="3565688"/>
          <a:ext cx="1714500" cy="428625"/>
        </a:xfrm>
        <a:prstGeom prst="ellipse">
          <a:avLst/>
        </a:prstGeom>
        <a:solidFill>
          <a:srgbClr val="A8D08C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Trading Volume</a:t>
          </a:r>
          <a:endParaRPr sz="1400"/>
        </a:p>
      </xdr:txBody>
    </xdr:sp>
    <xdr:clientData fLocksWithSheet="0"/>
  </xdr:oneCellAnchor>
  <xdr:oneCellAnchor>
    <xdr:from>
      <xdr:col>12</xdr:col>
      <xdr:colOff>133350</xdr:colOff>
      <xdr:row>70</xdr:row>
      <xdr:rowOff>57150</xdr:rowOff>
    </xdr:from>
    <xdr:ext cx="1333500" cy="561975"/>
    <xdr:sp macro="" textlink="">
      <xdr:nvSpPr>
        <xdr:cNvPr id="15" name="Shape 15" descr="AGE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4684013" y="3503775"/>
          <a:ext cx="1323975" cy="552450"/>
        </a:xfrm>
        <a:prstGeom prst="ellipse">
          <a:avLst/>
        </a:prstGeom>
        <a:solidFill>
          <a:srgbClr val="FEE599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   Past Trend</a:t>
          </a:r>
          <a:endParaRPr sz="1100" b="1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14</xdr:col>
      <xdr:colOff>495300</xdr:colOff>
      <xdr:row>72</xdr:row>
      <xdr:rowOff>123825</xdr:rowOff>
    </xdr:from>
    <xdr:ext cx="1162050" cy="41910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4769738" y="3575213"/>
          <a:ext cx="1152525" cy="409575"/>
        </a:xfrm>
        <a:prstGeom prst="ellipse">
          <a:avLst/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   </a:t>
          </a: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Down</a:t>
          </a:r>
          <a:endParaRPr sz="1400"/>
        </a:p>
      </xdr:txBody>
    </xdr:sp>
    <xdr:clientData fLocksWithSheet="0"/>
  </xdr:oneCellAnchor>
  <xdr:oneCellAnchor>
    <xdr:from>
      <xdr:col>9</xdr:col>
      <xdr:colOff>485775</xdr:colOff>
      <xdr:row>77</xdr:row>
      <xdr:rowOff>47625</xdr:rowOff>
    </xdr:from>
    <xdr:ext cx="1000125" cy="30480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4850700" y="3632363"/>
          <a:ext cx="990600" cy="295275"/>
        </a:xfrm>
        <a:prstGeom prst="ellipse">
          <a:avLst/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      </a:t>
          </a: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Up</a:t>
          </a:r>
          <a:endParaRPr sz="1400"/>
        </a:p>
      </xdr:txBody>
    </xdr:sp>
    <xdr:clientData fLocksWithSheet="0"/>
  </xdr:oneCellAnchor>
  <xdr:oneCellAnchor>
    <xdr:from>
      <xdr:col>11</xdr:col>
      <xdr:colOff>76200</xdr:colOff>
      <xdr:row>77</xdr:row>
      <xdr:rowOff>47625</xdr:rowOff>
    </xdr:from>
    <xdr:ext cx="1000125" cy="36195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4855463" y="3603788"/>
          <a:ext cx="981075" cy="352425"/>
        </a:xfrm>
        <a:prstGeom prst="ellipse">
          <a:avLst/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  Down</a:t>
          </a:r>
          <a:endParaRPr sz="1100" b="1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0</xdr:colOff>
      <xdr:row>71</xdr:row>
      <xdr:rowOff>152400</xdr:rowOff>
    </xdr:from>
    <xdr:ext cx="962025" cy="2571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1353800" y="12710160"/>
          <a:ext cx="962025" cy="257175"/>
          <a:chOff x="4869750" y="3656175"/>
          <a:chExt cx="952500" cy="247500"/>
        </a:xfrm>
      </xdr:grpSpPr>
      <xdr:cxnSp macro="">
        <xdr:nvCxnSpPr>
          <xdr:cNvPr id="19" name="Shape 19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CxnSpPr>
            <a:stCxn id="4" idx="2"/>
          </xdr:cNvCxnSpPr>
        </xdr:nvCxnSpPr>
        <xdr:spPr>
          <a:xfrm flipH="1">
            <a:off x="4869750" y="3656175"/>
            <a:ext cx="952500" cy="247500"/>
          </a:xfrm>
          <a:prstGeom prst="straightConnector1">
            <a:avLst/>
          </a:prstGeom>
          <a:noFill/>
          <a:ln w="12700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10</xdr:col>
      <xdr:colOff>38100</xdr:colOff>
      <xdr:row>75</xdr:row>
      <xdr:rowOff>57150</xdr:rowOff>
    </xdr:from>
    <xdr:ext cx="647700" cy="36195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713720" y="13315950"/>
          <a:ext cx="647700" cy="361950"/>
          <a:chOff x="5026913" y="3599025"/>
          <a:chExt cx="638175" cy="361950"/>
        </a:xfrm>
      </xdr:grpSpPr>
      <xdr:cxnSp macro="">
        <xdr:nvCxnSpPr>
          <xdr:cNvPr id="20" name="Shape 20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CxnSpPr/>
        </xdr:nvCxnSpPr>
        <xdr:spPr>
          <a:xfrm flipH="1">
            <a:off x="5026913" y="3599025"/>
            <a:ext cx="638175" cy="361950"/>
          </a:xfrm>
          <a:prstGeom prst="straightConnector1">
            <a:avLst/>
          </a:prstGeom>
          <a:noFill/>
          <a:ln w="12700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495300</xdr:colOff>
      <xdr:row>71</xdr:row>
      <xdr:rowOff>152400</xdr:rowOff>
    </xdr:from>
    <xdr:ext cx="742950" cy="2286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13693140" y="12710160"/>
          <a:ext cx="742950" cy="228600"/>
          <a:chOff x="4979288" y="3675225"/>
          <a:chExt cx="733500" cy="209400"/>
        </a:xfrm>
      </xdr:grpSpPr>
      <xdr:cxnSp macro="">
        <xdr:nvCxnSpPr>
          <xdr:cNvPr id="21" name="Shape 21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CxnSpPr>
            <a:stCxn id="4" idx="6"/>
            <a:endCxn id="5" idx="1"/>
          </xdr:cNvCxnSpPr>
        </xdr:nvCxnSpPr>
        <xdr:spPr>
          <a:xfrm>
            <a:off x="4979288" y="3675225"/>
            <a:ext cx="733500" cy="209400"/>
          </a:xfrm>
          <a:prstGeom prst="straightConnector1">
            <a:avLst/>
          </a:prstGeom>
          <a:noFill/>
          <a:ln w="12700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10</xdr:col>
      <xdr:colOff>657225</xdr:colOff>
      <xdr:row>82</xdr:row>
      <xdr:rowOff>371475</xdr:rowOff>
    </xdr:from>
    <xdr:ext cx="876300" cy="2667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11332845" y="14658975"/>
          <a:ext cx="876300" cy="266700"/>
          <a:chOff x="4912613" y="3651413"/>
          <a:chExt cx="866775" cy="257175"/>
        </a:xfrm>
      </xdr:grpSpPr>
      <xdr:cxnSp macro="">
        <xdr:nvCxnSpPr>
          <xdr:cNvPr id="22" name="Shape 22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CxnSpPr/>
        </xdr:nvCxnSpPr>
        <xdr:spPr>
          <a:xfrm>
            <a:off x="4912613" y="3651413"/>
            <a:ext cx="866775" cy="257175"/>
          </a:xfrm>
          <a:prstGeom prst="straightConnector1">
            <a:avLst/>
          </a:prstGeom>
          <a:noFill/>
          <a:ln w="12700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11</xdr:col>
      <xdr:colOff>0</xdr:colOff>
      <xdr:row>73</xdr:row>
      <xdr:rowOff>38100</xdr:rowOff>
    </xdr:from>
    <xdr:ext cx="38100" cy="3810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11353800" y="12946380"/>
          <a:ext cx="38100" cy="381000"/>
          <a:chOff x="5346000" y="3589500"/>
          <a:chExt cx="0" cy="381000"/>
        </a:xfrm>
      </xdr:grpSpPr>
      <xdr:cxnSp macro="">
        <xdr:nvCxnSpPr>
          <xdr:cNvPr id="23" name="Shape 23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CxnSpPr/>
        </xdr:nvCxnSpPr>
        <xdr:spPr>
          <a:xfrm>
            <a:off x="5346000" y="3589500"/>
            <a:ext cx="0" cy="381000"/>
          </a:xfrm>
          <a:prstGeom prst="straightConnector1">
            <a:avLst/>
          </a:prstGeom>
          <a:noFill/>
          <a:ln w="12700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11</xdr:col>
      <xdr:colOff>0</xdr:colOff>
      <xdr:row>75</xdr:row>
      <xdr:rowOff>57150</xdr:rowOff>
    </xdr:from>
    <xdr:ext cx="581025" cy="36195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pSpPr/>
      </xdr:nvGrpSpPr>
      <xdr:grpSpPr>
        <a:xfrm>
          <a:off x="11353800" y="13315950"/>
          <a:ext cx="581025" cy="361950"/>
          <a:chOff x="5060250" y="3599025"/>
          <a:chExt cx="571500" cy="361950"/>
        </a:xfrm>
      </xdr:grpSpPr>
      <xdr:cxnSp macro="">
        <xdr:nvCxnSpPr>
          <xdr:cNvPr id="24" name="Shape 24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CxnSpPr/>
        </xdr:nvCxnSpPr>
        <xdr:spPr>
          <a:xfrm>
            <a:off x="5060250" y="3599025"/>
            <a:ext cx="571500" cy="361950"/>
          </a:xfrm>
          <a:prstGeom prst="straightConnector1">
            <a:avLst/>
          </a:prstGeom>
          <a:noFill/>
          <a:ln w="12700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9</xdr:col>
      <xdr:colOff>571500</xdr:colOff>
      <xdr:row>82</xdr:row>
      <xdr:rowOff>352425</xdr:rowOff>
    </xdr:from>
    <xdr:ext cx="609600" cy="32385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10218420" y="14662785"/>
          <a:ext cx="609600" cy="323850"/>
          <a:chOff x="5045963" y="3622838"/>
          <a:chExt cx="600075" cy="314325"/>
        </a:xfrm>
      </xdr:grpSpPr>
      <xdr:cxnSp macro="">
        <xdr:nvCxnSpPr>
          <xdr:cNvPr id="25" name="Shape 25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CxnSpPr/>
        </xdr:nvCxnSpPr>
        <xdr:spPr>
          <a:xfrm flipH="1">
            <a:off x="5045963" y="3622838"/>
            <a:ext cx="600075" cy="314325"/>
          </a:xfrm>
          <a:prstGeom prst="straightConnector1">
            <a:avLst/>
          </a:prstGeom>
          <a:noFill/>
          <a:ln w="12700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10</xdr:col>
      <xdr:colOff>457200</xdr:colOff>
      <xdr:row>79</xdr:row>
      <xdr:rowOff>19050</xdr:rowOff>
    </xdr:from>
    <xdr:ext cx="781050" cy="466725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/>
      </xdr:nvGrpSpPr>
      <xdr:grpSpPr>
        <a:xfrm>
          <a:off x="11132820" y="13978890"/>
          <a:ext cx="781050" cy="466725"/>
          <a:chOff x="4960163" y="3551400"/>
          <a:chExt cx="771600" cy="457200"/>
        </a:xfrm>
      </xdr:grpSpPr>
      <xdr:cxnSp macro="">
        <xdr:nvCxnSpPr>
          <xdr:cNvPr id="26" name="Shape 26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CxnSpPr>
            <a:endCxn id="3" idx="0"/>
          </xdr:cNvCxnSpPr>
        </xdr:nvCxnSpPr>
        <xdr:spPr>
          <a:xfrm flipH="1">
            <a:off x="4960163" y="3551400"/>
            <a:ext cx="771600" cy="457200"/>
          </a:xfrm>
          <a:prstGeom prst="straightConnector1">
            <a:avLst/>
          </a:prstGeom>
          <a:noFill/>
          <a:ln w="12700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9</xdr:col>
      <xdr:colOff>990600</xdr:colOff>
      <xdr:row>78</xdr:row>
      <xdr:rowOff>161925</xdr:rowOff>
    </xdr:from>
    <xdr:ext cx="485775" cy="51435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pSpPr/>
      </xdr:nvGrpSpPr>
      <xdr:grpSpPr>
        <a:xfrm>
          <a:off x="10637520" y="13946505"/>
          <a:ext cx="485775" cy="514350"/>
          <a:chOff x="5107875" y="3527588"/>
          <a:chExt cx="476100" cy="504900"/>
        </a:xfrm>
      </xdr:grpSpPr>
      <xdr:cxnSp macro="">
        <xdr:nvCxnSpPr>
          <xdr:cNvPr id="27" name="Shape 27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CxnSpPr>
            <a:stCxn id="6" idx="4"/>
            <a:endCxn id="3" idx="0"/>
          </xdr:cNvCxnSpPr>
        </xdr:nvCxnSpPr>
        <xdr:spPr>
          <a:xfrm>
            <a:off x="5107875" y="3527588"/>
            <a:ext cx="476100" cy="504900"/>
          </a:xfrm>
          <a:prstGeom prst="straightConnector1">
            <a:avLst/>
          </a:prstGeom>
          <a:noFill/>
          <a:ln w="12700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9</xdr:col>
      <xdr:colOff>85725</xdr:colOff>
      <xdr:row>85</xdr:row>
      <xdr:rowOff>104775</xdr:rowOff>
    </xdr:from>
    <xdr:ext cx="933450" cy="41910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4884038" y="3579975"/>
          <a:ext cx="923925" cy="400050"/>
        </a:xfrm>
        <a:prstGeom prst="ellipse">
          <a:avLst/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     </a:t>
          </a: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Up</a:t>
          </a:r>
          <a:endParaRPr sz="1100" b="1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11</xdr:col>
      <xdr:colOff>419100</xdr:colOff>
      <xdr:row>85</xdr:row>
      <xdr:rowOff>85725</xdr:rowOff>
    </xdr:from>
    <xdr:ext cx="923925" cy="41910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4888800" y="3579975"/>
          <a:ext cx="914400" cy="400050"/>
        </a:xfrm>
        <a:prstGeom prst="ellipse">
          <a:avLst/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   </a:t>
          </a: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Down</a:t>
          </a:r>
          <a:endParaRPr sz="1100" b="1">
            <a:solidFill>
              <a:srgbClr val="000000"/>
            </a:solidFill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1000"/>
  <sheetViews>
    <sheetView tabSelected="1" workbookViewId="0">
      <selection activeCell="B26" sqref="B26"/>
    </sheetView>
  </sheetViews>
  <sheetFormatPr defaultColWidth="14.44140625" defaultRowHeight="15" customHeight="1" x14ac:dyDescent="0.3"/>
  <cols>
    <col min="1" max="2" width="8.6640625" customWidth="1"/>
    <col min="3" max="3" width="10.6640625" customWidth="1"/>
    <col min="4" max="4" width="14.33203125" customWidth="1"/>
    <col min="5" max="5" width="10.88671875" customWidth="1"/>
    <col min="6" max="8" width="8.6640625" customWidth="1"/>
    <col min="9" max="9" width="18.109375" customWidth="1"/>
    <col min="10" max="10" width="43" customWidth="1"/>
    <col min="11" max="11" width="15.44140625" customWidth="1"/>
    <col min="12" max="12" width="8.6640625" customWidth="1"/>
    <col min="13" max="13" width="14.33203125" customWidth="1"/>
    <col min="14" max="14" width="10.88671875" customWidth="1"/>
    <col min="15" max="26" width="8.6640625" customWidth="1"/>
  </cols>
  <sheetData>
    <row r="1" spans="2:15" ht="14.25" customHeight="1" x14ac:dyDescent="0.3"/>
    <row r="2" spans="2:15" ht="14.25" customHeight="1" x14ac:dyDescent="0.3">
      <c r="B2" s="16"/>
      <c r="C2" s="26" t="s">
        <v>153</v>
      </c>
      <c r="D2" s="26" t="s">
        <v>154</v>
      </c>
      <c r="E2" s="26" t="s">
        <v>155</v>
      </c>
      <c r="F2" s="26" t="s">
        <v>156</v>
      </c>
      <c r="G2" s="26" t="s">
        <v>157</v>
      </c>
      <c r="K2" s="3"/>
      <c r="L2" s="26" t="s">
        <v>153</v>
      </c>
      <c r="M2" s="26" t="s">
        <v>154</v>
      </c>
      <c r="N2" s="26" t="s">
        <v>155</v>
      </c>
      <c r="O2" s="26" t="s">
        <v>156</v>
      </c>
    </row>
    <row r="3" spans="2:15" ht="14.25" customHeight="1" x14ac:dyDescent="0.3">
      <c r="B3" s="27" t="s">
        <v>158</v>
      </c>
      <c r="C3" s="26" t="s">
        <v>159</v>
      </c>
      <c r="D3" s="26" t="s">
        <v>160</v>
      </c>
      <c r="E3" s="26" t="s">
        <v>87</v>
      </c>
      <c r="F3" s="26" t="s">
        <v>161</v>
      </c>
      <c r="G3" s="26" t="s">
        <v>66</v>
      </c>
      <c r="K3" s="28" t="s">
        <v>8</v>
      </c>
      <c r="L3" s="28">
        <v>0.246</v>
      </c>
      <c r="M3" s="28">
        <v>2.9000000000000001E-2</v>
      </c>
      <c r="N3" s="28">
        <v>0.151</v>
      </c>
      <c r="O3" s="28">
        <v>4.8000000000000001E-2</v>
      </c>
    </row>
    <row r="4" spans="2:15" ht="14.25" customHeight="1" x14ac:dyDescent="0.3">
      <c r="B4" s="27" t="s">
        <v>162</v>
      </c>
      <c r="C4" s="26" t="s">
        <v>159</v>
      </c>
      <c r="D4" s="26" t="s">
        <v>160</v>
      </c>
      <c r="E4" s="26" t="s">
        <v>87</v>
      </c>
      <c r="F4" s="26" t="s">
        <v>163</v>
      </c>
      <c r="G4" s="26" t="s">
        <v>66</v>
      </c>
      <c r="K4" s="29"/>
      <c r="L4" s="29"/>
      <c r="M4" s="29"/>
      <c r="N4" s="29"/>
      <c r="O4" s="29"/>
    </row>
    <row r="5" spans="2:15" ht="14.25" customHeight="1" x14ac:dyDescent="0.3">
      <c r="B5" s="27" t="s">
        <v>164</v>
      </c>
      <c r="C5" s="26" t="s">
        <v>165</v>
      </c>
      <c r="D5" s="26" t="s">
        <v>160</v>
      </c>
      <c r="E5" s="26" t="s">
        <v>87</v>
      </c>
      <c r="F5" s="26" t="s">
        <v>161</v>
      </c>
      <c r="G5" s="26" t="s">
        <v>63</v>
      </c>
      <c r="K5" s="30"/>
      <c r="L5" s="30"/>
      <c r="M5" s="30"/>
      <c r="N5" s="30"/>
      <c r="O5" s="30"/>
    </row>
    <row r="6" spans="2:15" ht="14.25" customHeight="1" x14ac:dyDescent="0.3">
      <c r="B6" s="27" t="s">
        <v>166</v>
      </c>
      <c r="C6" s="26" t="s">
        <v>167</v>
      </c>
      <c r="D6" s="26" t="s">
        <v>168</v>
      </c>
      <c r="E6" s="26" t="s">
        <v>87</v>
      </c>
      <c r="F6" s="26" t="s">
        <v>161</v>
      </c>
      <c r="G6" s="26" t="s">
        <v>63</v>
      </c>
    </row>
    <row r="7" spans="2:15" ht="14.25" customHeight="1" x14ac:dyDescent="0.3">
      <c r="B7" s="27" t="s">
        <v>169</v>
      </c>
      <c r="C7" s="26" t="s">
        <v>167</v>
      </c>
      <c r="D7" s="26" t="s">
        <v>170</v>
      </c>
      <c r="E7" s="26" t="s">
        <v>171</v>
      </c>
      <c r="F7" s="26" t="s">
        <v>161</v>
      </c>
      <c r="G7" s="26" t="s">
        <v>63</v>
      </c>
      <c r="K7" s="3"/>
      <c r="L7" s="26"/>
      <c r="M7" s="26" t="s">
        <v>154</v>
      </c>
      <c r="N7" s="26" t="s">
        <v>155</v>
      </c>
      <c r="O7" s="26" t="s">
        <v>156</v>
      </c>
    </row>
    <row r="8" spans="2:15" ht="14.25" customHeight="1" x14ac:dyDescent="0.3">
      <c r="B8" s="27" t="s">
        <v>172</v>
      </c>
      <c r="C8" s="26" t="s">
        <v>167</v>
      </c>
      <c r="D8" s="26" t="s">
        <v>170</v>
      </c>
      <c r="E8" s="26" t="s">
        <v>171</v>
      </c>
      <c r="F8" s="26" t="s">
        <v>163</v>
      </c>
      <c r="G8" s="26" t="s">
        <v>66</v>
      </c>
      <c r="K8" s="28" t="s">
        <v>8</v>
      </c>
      <c r="L8" s="28"/>
      <c r="M8" s="28">
        <v>0.56999999999999995</v>
      </c>
      <c r="N8" s="28">
        <v>0.96</v>
      </c>
      <c r="O8" s="28">
        <v>1.9E-2</v>
      </c>
    </row>
    <row r="9" spans="2:15" ht="14.25" customHeight="1" x14ac:dyDescent="0.3">
      <c r="B9" s="27" t="s">
        <v>173</v>
      </c>
      <c r="C9" s="26" t="s">
        <v>165</v>
      </c>
      <c r="D9" s="26" t="s">
        <v>170</v>
      </c>
      <c r="E9" s="26" t="s">
        <v>171</v>
      </c>
      <c r="F9" s="26" t="s">
        <v>163</v>
      </c>
      <c r="G9" s="26" t="s">
        <v>63</v>
      </c>
      <c r="K9" s="29"/>
      <c r="L9" s="29"/>
      <c r="M9" s="29"/>
      <c r="N9" s="29"/>
      <c r="O9" s="29"/>
    </row>
    <row r="10" spans="2:15" ht="14.25" customHeight="1" x14ac:dyDescent="0.3">
      <c r="B10" s="27" t="s">
        <v>174</v>
      </c>
      <c r="C10" s="26" t="s">
        <v>159</v>
      </c>
      <c r="D10" s="26" t="s">
        <v>168</v>
      </c>
      <c r="E10" s="26" t="s">
        <v>87</v>
      </c>
      <c r="F10" s="26" t="s">
        <v>161</v>
      </c>
      <c r="G10" s="26" t="s">
        <v>66</v>
      </c>
      <c r="K10" s="30"/>
      <c r="L10" s="30"/>
      <c r="M10" s="30"/>
      <c r="N10" s="30"/>
      <c r="O10" s="30"/>
    </row>
    <row r="11" spans="2:15" ht="14.25" customHeight="1" x14ac:dyDescent="0.3">
      <c r="B11" s="27" t="s">
        <v>175</v>
      </c>
      <c r="C11" s="26" t="s">
        <v>159</v>
      </c>
      <c r="D11" s="26" t="s">
        <v>170</v>
      </c>
      <c r="E11" s="26" t="s">
        <v>171</v>
      </c>
      <c r="F11" s="26" t="s">
        <v>161</v>
      </c>
      <c r="G11" s="26" t="s">
        <v>63</v>
      </c>
    </row>
    <row r="12" spans="2:15" ht="14.25" customHeight="1" x14ac:dyDescent="0.3">
      <c r="B12" s="27" t="s">
        <v>176</v>
      </c>
      <c r="C12" s="26" t="s">
        <v>167</v>
      </c>
      <c r="D12" s="26" t="s">
        <v>168</v>
      </c>
      <c r="E12" s="26" t="s">
        <v>171</v>
      </c>
      <c r="F12" s="26" t="s">
        <v>161</v>
      </c>
      <c r="G12" s="26" t="s">
        <v>63</v>
      </c>
    </row>
    <row r="13" spans="2:15" ht="14.25" customHeight="1" x14ac:dyDescent="0.3">
      <c r="B13" s="27" t="s">
        <v>177</v>
      </c>
      <c r="C13" s="26" t="s">
        <v>159</v>
      </c>
      <c r="D13" s="26" t="s">
        <v>168</v>
      </c>
      <c r="E13" s="26" t="s">
        <v>171</v>
      </c>
      <c r="F13" s="26" t="s">
        <v>163</v>
      </c>
      <c r="G13" s="26" t="s">
        <v>63</v>
      </c>
    </row>
    <row r="14" spans="2:15" ht="14.25" customHeight="1" x14ac:dyDescent="0.3">
      <c r="B14" s="27" t="s">
        <v>178</v>
      </c>
      <c r="C14" s="26" t="s">
        <v>165</v>
      </c>
      <c r="D14" s="26" t="s">
        <v>168</v>
      </c>
      <c r="E14" s="26" t="s">
        <v>87</v>
      </c>
      <c r="F14" s="26" t="s">
        <v>163</v>
      </c>
      <c r="G14" s="26" t="s">
        <v>63</v>
      </c>
    </row>
    <row r="15" spans="2:15" ht="14.25" customHeight="1" x14ac:dyDescent="0.3">
      <c r="B15" s="27" t="s">
        <v>179</v>
      </c>
      <c r="C15" s="26" t="s">
        <v>165</v>
      </c>
      <c r="D15" s="26" t="s">
        <v>160</v>
      </c>
      <c r="E15" s="26" t="s">
        <v>171</v>
      </c>
      <c r="F15" s="26" t="s">
        <v>161</v>
      </c>
      <c r="G15" s="26" t="s">
        <v>63</v>
      </c>
    </row>
    <row r="16" spans="2:15" ht="14.25" customHeight="1" x14ac:dyDescent="0.3">
      <c r="B16" s="27" t="s">
        <v>180</v>
      </c>
      <c r="C16" s="26" t="s">
        <v>167</v>
      </c>
      <c r="D16" s="26" t="s">
        <v>168</v>
      </c>
      <c r="E16" s="26" t="s">
        <v>87</v>
      </c>
      <c r="F16" s="26" t="s">
        <v>163</v>
      </c>
      <c r="G16" s="26" t="s">
        <v>66</v>
      </c>
    </row>
    <row r="17" spans="2:14" ht="14.25" customHeight="1" x14ac:dyDescent="0.3"/>
    <row r="18" spans="2:14" ht="14.25" customHeight="1" x14ac:dyDescent="0.3"/>
    <row r="19" spans="2:14" ht="14.25" customHeight="1" x14ac:dyDescent="0.3">
      <c r="E19" s="19">
        <f>LOG(0.5,2)</f>
        <v>-1</v>
      </c>
      <c r="I19" s="6" t="s">
        <v>14</v>
      </c>
      <c r="J19" s="7" t="s">
        <v>181</v>
      </c>
    </row>
    <row r="20" spans="2:14" ht="14.25" customHeight="1" x14ac:dyDescent="0.3">
      <c r="I20" s="9" t="s">
        <v>16</v>
      </c>
      <c r="J20" s="9" t="s">
        <v>182</v>
      </c>
    </row>
    <row r="21" spans="2:14" ht="14.25" customHeight="1" x14ac:dyDescent="0.3">
      <c r="I21" s="11"/>
      <c r="J21" s="12" t="s">
        <v>18</v>
      </c>
    </row>
    <row r="22" spans="2:14" ht="14.25" customHeight="1" x14ac:dyDescent="0.3">
      <c r="I22" s="11"/>
      <c r="J22" s="11" t="s">
        <v>183</v>
      </c>
    </row>
    <row r="23" spans="2:14" ht="14.25" customHeight="1" x14ac:dyDescent="0.3">
      <c r="I23" s="11"/>
      <c r="J23" s="11" t="s">
        <v>184</v>
      </c>
    </row>
    <row r="24" spans="2:14" ht="14.25" customHeight="1" x14ac:dyDescent="0.3">
      <c r="I24" s="15"/>
      <c r="J24" s="15"/>
    </row>
    <row r="25" spans="2:14" ht="14.25" customHeight="1" x14ac:dyDescent="0.3">
      <c r="B25">
        <f>0.4*1.322</f>
        <v>0.52880000000000005</v>
      </c>
      <c r="I25" s="15"/>
      <c r="J25" s="11" t="s">
        <v>185</v>
      </c>
    </row>
    <row r="26" spans="2:14" ht="14.25" customHeight="1" x14ac:dyDescent="0.3">
      <c r="I26" s="15"/>
      <c r="J26" s="15" t="s">
        <v>186</v>
      </c>
    </row>
    <row r="27" spans="2:14" ht="14.25" customHeight="1" x14ac:dyDescent="0.3">
      <c r="I27" s="15"/>
      <c r="J27" s="20">
        <f>-(((5/14)*LOG((5/14),2))+((9/14)*LOG((9/14),2)))</f>
        <v>0.94028595867063092</v>
      </c>
    </row>
    <row r="28" spans="2:14" ht="14.25" customHeight="1" x14ac:dyDescent="0.3">
      <c r="I28" s="11" t="s">
        <v>187</v>
      </c>
      <c r="J28" s="17">
        <v>0.94</v>
      </c>
      <c r="L28" s="1" t="s">
        <v>156</v>
      </c>
      <c r="M28" s="1" t="s">
        <v>63</v>
      </c>
      <c r="N28" s="1" t="s">
        <v>66</v>
      </c>
    </row>
    <row r="29" spans="2:14" ht="14.25" customHeight="1" x14ac:dyDescent="0.3">
      <c r="I29" s="15"/>
      <c r="J29" s="15"/>
      <c r="L29" s="1" t="s">
        <v>163</v>
      </c>
      <c r="M29" s="1">
        <v>3</v>
      </c>
      <c r="N29" s="1">
        <v>3</v>
      </c>
    </row>
    <row r="30" spans="2:14" ht="14.25" customHeight="1" x14ac:dyDescent="0.3">
      <c r="I30" s="9" t="s">
        <v>24</v>
      </c>
      <c r="J30" s="9" t="s">
        <v>188</v>
      </c>
      <c r="L30" s="1" t="s">
        <v>161</v>
      </c>
      <c r="M30" s="1">
        <v>6</v>
      </c>
      <c r="N30" s="1">
        <v>2</v>
      </c>
    </row>
    <row r="31" spans="2:14" ht="14.25" customHeight="1" x14ac:dyDescent="0.3">
      <c r="I31" s="11"/>
      <c r="J31" s="11" t="s">
        <v>189</v>
      </c>
    </row>
    <row r="32" spans="2:14" ht="14.25" customHeight="1" x14ac:dyDescent="0.3">
      <c r="I32" s="11"/>
      <c r="J32" s="11" t="s">
        <v>190</v>
      </c>
    </row>
    <row r="33" spans="9:10" ht="14.25" customHeight="1" x14ac:dyDescent="0.3">
      <c r="I33" s="11"/>
      <c r="J33" s="11" t="s">
        <v>191</v>
      </c>
    </row>
    <row r="34" spans="9:10" ht="14.25" customHeight="1" x14ac:dyDescent="0.3">
      <c r="I34" s="11"/>
      <c r="J34" s="11" t="s">
        <v>192</v>
      </c>
    </row>
    <row r="35" spans="9:10" ht="14.25" customHeight="1" x14ac:dyDescent="0.3">
      <c r="I35" s="15"/>
      <c r="J35" s="15">
        <f>-(((0.5)*LOG(0.5,2))+(0.5*LOG(0.5,2)))</f>
        <v>1</v>
      </c>
    </row>
    <row r="36" spans="9:10" ht="14.25" customHeight="1" x14ac:dyDescent="0.3">
      <c r="I36" s="11" t="s">
        <v>193</v>
      </c>
      <c r="J36" s="17">
        <v>1</v>
      </c>
    </row>
    <row r="37" spans="9:10" ht="14.25" customHeight="1" x14ac:dyDescent="0.3">
      <c r="I37" s="11" t="s">
        <v>31</v>
      </c>
      <c r="J37" s="20">
        <f>6/14</f>
        <v>0.42857142857142855</v>
      </c>
    </row>
    <row r="38" spans="9:10" ht="14.25" customHeight="1" x14ac:dyDescent="0.3">
      <c r="I38" s="11" t="s">
        <v>194</v>
      </c>
      <c r="J38" s="11" t="s">
        <v>195</v>
      </c>
    </row>
    <row r="39" spans="9:10" ht="14.25" customHeight="1" x14ac:dyDescent="0.3">
      <c r="I39" s="15"/>
      <c r="J39" s="25">
        <f>J36*J37</f>
        <v>0.42857142857142855</v>
      </c>
    </row>
    <row r="40" spans="9:10" ht="14.25" customHeight="1" x14ac:dyDescent="0.3">
      <c r="I40" s="15"/>
      <c r="J40" s="11" t="s">
        <v>196</v>
      </c>
    </row>
    <row r="41" spans="9:10" ht="14.25" customHeight="1" x14ac:dyDescent="0.3">
      <c r="I41" s="15"/>
      <c r="J41" s="20">
        <f>-(((6/8)*LOG((6/8),2))+((2/8)*LOG((2/8),2)))</f>
        <v>0.81127812445913283</v>
      </c>
    </row>
    <row r="42" spans="9:10" ht="14.25" customHeight="1" x14ac:dyDescent="0.3">
      <c r="I42" s="11" t="s">
        <v>197</v>
      </c>
      <c r="J42" s="17">
        <v>0.81100000000000005</v>
      </c>
    </row>
    <row r="43" spans="9:10" ht="14.25" customHeight="1" x14ac:dyDescent="0.3">
      <c r="I43" s="11" t="s">
        <v>31</v>
      </c>
      <c r="J43" s="25">
        <f>8/14</f>
        <v>0.5714285714285714</v>
      </c>
    </row>
    <row r="44" spans="9:10" ht="14.25" customHeight="1" x14ac:dyDescent="0.3">
      <c r="I44" s="11" t="s">
        <v>198</v>
      </c>
      <c r="J44" s="11" t="s">
        <v>199</v>
      </c>
    </row>
    <row r="45" spans="9:10" ht="14.25" customHeight="1" x14ac:dyDescent="0.3">
      <c r="I45" s="15"/>
      <c r="J45" s="20">
        <f>J42*J43</f>
        <v>0.46342857142857141</v>
      </c>
    </row>
    <row r="46" spans="9:10" ht="14.25" customHeight="1" x14ac:dyDescent="0.3">
      <c r="I46" s="11" t="s">
        <v>189</v>
      </c>
      <c r="J46" s="11" t="s">
        <v>200</v>
      </c>
    </row>
    <row r="47" spans="9:10" ht="14.25" customHeight="1" x14ac:dyDescent="0.3">
      <c r="I47" s="11"/>
      <c r="J47" s="20">
        <f>J39+J45</f>
        <v>0.8919999999999999</v>
      </c>
    </row>
    <row r="48" spans="9:10" ht="14.25" customHeight="1" x14ac:dyDescent="0.3">
      <c r="I48" s="11" t="s">
        <v>201</v>
      </c>
      <c r="J48" s="11" t="s">
        <v>202</v>
      </c>
    </row>
    <row r="49" spans="9:10" ht="14.25" customHeight="1" x14ac:dyDescent="0.3">
      <c r="I49" s="11"/>
      <c r="J49" s="20">
        <f>J28-J47</f>
        <v>4.8000000000000043E-2</v>
      </c>
    </row>
    <row r="50" spans="9:10" ht="14.25" customHeight="1" x14ac:dyDescent="0.3"/>
    <row r="51" spans="9:10" ht="14.25" customHeight="1" x14ac:dyDescent="0.3"/>
    <row r="52" spans="9:10" ht="14.25" customHeight="1" x14ac:dyDescent="0.3"/>
    <row r="53" spans="9:10" ht="14.25" customHeight="1" x14ac:dyDescent="0.3"/>
    <row r="54" spans="9:10" ht="14.25" customHeight="1" x14ac:dyDescent="0.3"/>
    <row r="55" spans="9:10" ht="14.25" customHeight="1" x14ac:dyDescent="0.3"/>
    <row r="56" spans="9:10" ht="14.25" customHeight="1" x14ac:dyDescent="0.3"/>
    <row r="57" spans="9:10" ht="14.25" customHeight="1" x14ac:dyDescent="0.3"/>
    <row r="58" spans="9:10" ht="14.25" customHeight="1" x14ac:dyDescent="0.3"/>
    <row r="59" spans="9:10" ht="14.25" customHeight="1" x14ac:dyDescent="0.3"/>
    <row r="60" spans="9:10" ht="14.25" customHeight="1" x14ac:dyDescent="0.3"/>
    <row r="61" spans="9:10" ht="14.25" customHeight="1" x14ac:dyDescent="0.3"/>
    <row r="62" spans="9:10" ht="14.25" customHeight="1" x14ac:dyDescent="0.3"/>
    <row r="63" spans="9:10" ht="14.25" customHeight="1" x14ac:dyDescent="0.3"/>
    <row r="64" spans="9:10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0">
    <mergeCell ref="O3:O5"/>
    <mergeCell ref="K8:K10"/>
    <mergeCell ref="L8:L10"/>
    <mergeCell ref="O8:O10"/>
    <mergeCell ref="M8:M10"/>
    <mergeCell ref="N8:N10"/>
    <mergeCell ref="K3:K5"/>
    <mergeCell ref="L3:L5"/>
    <mergeCell ref="M3:M5"/>
    <mergeCell ref="N3:N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000"/>
  <sheetViews>
    <sheetView showGridLines="0" topLeftCell="A18" workbookViewId="0">
      <selection activeCell="H20" sqref="H20"/>
    </sheetView>
  </sheetViews>
  <sheetFormatPr defaultColWidth="14.44140625" defaultRowHeight="15" customHeight="1" x14ac:dyDescent="0.3"/>
  <cols>
    <col min="1" max="2" width="8.6640625" customWidth="1"/>
    <col min="3" max="3" width="11.109375" customWidth="1"/>
    <col min="4" max="6" width="8.6640625" customWidth="1"/>
    <col min="7" max="7" width="19.6640625" customWidth="1"/>
    <col min="8" max="8" width="43" customWidth="1"/>
    <col min="9" max="9" width="12.5546875" customWidth="1"/>
    <col min="10" max="10" width="15" customWidth="1"/>
    <col min="11" max="11" width="8.6640625" customWidth="1"/>
    <col min="12" max="12" width="11.109375" customWidth="1"/>
    <col min="13" max="26" width="8.6640625" customWidth="1"/>
  </cols>
  <sheetData>
    <row r="1" spans="2:13" ht="14.25" customHeight="1" x14ac:dyDescent="0.3"/>
    <row r="2" spans="2:13" ht="14.25" customHeight="1" x14ac:dyDescent="0.3">
      <c r="B2" s="1" t="s">
        <v>0</v>
      </c>
      <c r="C2" s="1" t="s">
        <v>1</v>
      </c>
      <c r="D2" s="1" t="s">
        <v>2</v>
      </c>
      <c r="E2" s="1" t="s">
        <v>3</v>
      </c>
      <c r="F2" s="2"/>
      <c r="J2" s="3"/>
      <c r="K2" s="3" t="s">
        <v>0</v>
      </c>
      <c r="L2" s="3" t="s">
        <v>1</v>
      </c>
      <c r="M2" s="3" t="s">
        <v>2</v>
      </c>
    </row>
    <row r="3" spans="2:13" ht="14.25" customHeight="1" x14ac:dyDescent="0.3">
      <c r="B3" s="4" t="s">
        <v>4</v>
      </c>
      <c r="C3" s="4" t="s">
        <v>5</v>
      </c>
      <c r="D3" s="4" t="s">
        <v>6</v>
      </c>
      <c r="E3" s="4" t="s">
        <v>7</v>
      </c>
      <c r="F3" s="5"/>
      <c r="J3" s="28" t="s">
        <v>8</v>
      </c>
      <c r="K3" s="28">
        <v>0.6</v>
      </c>
      <c r="L3" s="28">
        <v>0.121</v>
      </c>
      <c r="M3" s="28">
        <v>0</v>
      </c>
    </row>
    <row r="4" spans="2:13" ht="14.25" customHeight="1" x14ac:dyDescent="0.3">
      <c r="B4" s="4" t="s">
        <v>4</v>
      </c>
      <c r="C4" s="4" t="s">
        <v>9</v>
      </c>
      <c r="D4" s="4" t="s">
        <v>6</v>
      </c>
      <c r="E4" s="4" t="s">
        <v>7</v>
      </c>
      <c r="F4" s="5"/>
      <c r="J4" s="29"/>
      <c r="K4" s="29"/>
      <c r="L4" s="29"/>
      <c r="M4" s="29"/>
    </row>
    <row r="5" spans="2:13" ht="14.25" customHeight="1" x14ac:dyDescent="0.3">
      <c r="B5" s="4" t="s">
        <v>4</v>
      </c>
      <c r="C5" s="4" t="s">
        <v>9</v>
      </c>
      <c r="D5" s="4" t="s">
        <v>10</v>
      </c>
      <c r="E5" s="4" t="s">
        <v>7</v>
      </c>
      <c r="F5" s="5"/>
      <c r="J5" s="30"/>
      <c r="K5" s="30"/>
      <c r="L5" s="30"/>
      <c r="M5" s="30"/>
    </row>
    <row r="6" spans="2:13" ht="14.25" customHeight="1" x14ac:dyDescent="0.3">
      <c r="B6" s="4" t="s">
        <v>11</v>
      </c>
      <c r="C6" s="4" t="s">
        <v>5</v>
      </c>
      <c r="D6" s="4" t="s">
        <v>6</v>
      </c>
      <c r="E6" s="4" t="s">
        <v>7</v>
      </c>
      <c r="F6" s="5"/>
    </row>
    <row r="7" spans="2:13" ht="14.25" customHeight="1" x14ac:dyDescent="0.3">
      <c r="B7" s="4" t="s">
        <v>11</v>
      </c>
      <c r="C7" s="4" t="s">
        <v>5</v>
      </c>
      <c r="D7" s="4" t="s">
        <v>10</v>
      </c>
      <c r="E7" s="4" t="s">
        <v>7</v>
      </c>
      <c r="F7" s="5"/>
    </row>
    <row r="8" spans="2:13" ht="14.25" customHeight="1" x14ac:dyDescent="0.3">
      <c r="B8" s="4" t="s">
        <v>11</v>
      </c>
      <c r="C8" s="4" t="s">
        <v>9</v>
      </c>
      <c r="D8" s="4" t="s">
        <v>10</v>
      </c>
      <c r="E8" s="4" t="s">
        <v>12</v>
      </c>
      <c r="F8" s="5"/>
    </row>
    <row r="9" spans="2:13" ht="14.25" customHeight="1" x14ac:dyDescent="0.3">
      <c r="B9" s="4" t="s">
        <v>11</v>
      </c>
      <c r="C9" s="4" t="s">
        <v>9</v>
      </c>
      <c r="D9" s="4" t="s">
        <v>6</v>
      </c>
      <c r="E9" s="4" t="s">
        <v>12</v>
      </c>
      <c r="F9" s="5"/>
    </row>
    <row r="10" spans="2:13" ht="14.25" customHeight="1" x14ac:dyDescent="0.3">
      <c r="B10" s="4" t="s">
        <v>13</v>
      </c>
      <c r="C10" s="4" t="s">
        <v>5</v>
      </c>
      <c r="D10" s="4" t="s">
        <v>6</v>
      </c>
      <c r="E10" s="4" t="s">
        <v>12</v>
      </c>
      <c r="F10" s="5"/>
    </row>
    <row r="11" spans="2:13" ht="14.25" customHeight="1" x14ac:dyDescent="0.3">
      <c r="B11" s="4" t="s">
        <v>13</v>
      </c>
      <c r="C11" s="4" t="s">
        <v>9</v>
      </c>
      <c r="D11" s="4" t="s">
        <v>10</v>
      </c>
      <c r="E11" s="4" t="s">
        <v>12</v>
      </c>
      <c r="F11" s="5"/>
    </row>
    <row r="12" spans="2:13" ht="14.25" customHeight="1" x14ac:dyDescent="0.3">
      <c r="B12" s="4" t="s">
        <v>13</v>
      </c>
      <c r="C12" s="4" t="s">
        <v>9</v>
      </c>
      <c r="D12" s="4" t="s">
        <v>6</v>
      </c>
      <c r="E12" s="4" t="s">
        <v>12</v>
      </c>
      <c r="F12" s="5"/>
    </row>
    <row r="13" spans="2:13" ht="14.25" customHeight="1" x14ac:dyDescent="0.3"/>
    <row r="14" spans="2:13" ht="14.25" customHeight="1" x14ac:dyDescent="0.3">
      <c r="G14" s="6" t="s">
        <v>14</v>
      </c>
      <c r="H14" s="7" t="s">
        <v>15</v>
      </c>
      <c r="I14" s="8"/>
    </row>
    <row r="15" spans="2:13" ht="14.25" customHeight="1" x14ac:dyDescent="0.3">
      <c r="B15" s="1" t="s">
        <v>0</v>
      </c>
      <c r="C15" s="1" t="s">
        <v>1</v>
      </c>
      <c r="D15" s="1" t="s">
        <v>2</v>
      </c>
      <c r="E15" s="1" t="s">
        <v>3</v>
      </c>
      <c r="G15" s="9" t="s">
        <v>16</v>
      </c>
      <c r="H15" s="9" t="s">
        <v>17</v>
      </c>
      <c r="I15" s="10"/>
    </row>
    <row r="16" spans="2:13" ht="23.25" customHeight="1" x14ac:dyDescent="0.3">
      <c r="B16" s="4" t="s">
        <v>11</v>
      </c>
      <c r="C16" s="4" t="s">
        <v>5</v>
      </c>
      <c r="D16" s="4" t="s">
        <v>6</v>
      </c>
      <c r="E16" s="4" t="s">
        <v>7</v>
      </c>
      <c r="G16" s="11"/>
      <c r="H16" s="12" t="s">
        <v>18</v>
      </c>
      <c r="I16" s="13"/>
    </row>
    <row r="17" spans="2:12" ht="14.25" customHeight="1" x14ac:dyDescent="0.3">
      <c r="B17" s="4" t="s">
        <v>11</v>
      </c>
      <c r="C17" s="4" t="s">
        <v>5</v>
      </c>
      <c r="D17" s="4" t="s">
        <v>10</v>
      </c>
      <c r="E17" s="4" t="s">
        <v>7</v>
      </c>
      <c r="G17" s="11"/>
      <c r="H17" s="11" t="s">
        <v>19</v>
      </c>
      <c r="I17" s="14"/>
    </row>
    <row r="18" spans="2:12" ht="14.25" customHeight="1" x14ac:dyDescent="0.3">
      <c r="B18" s="4" t="s">
        <v>11</v>
      </c>
      <c r="C18" s="4" t="s">
        <v>9</v>
      </c>
      <c r="D18" s="4" t="s">
        <v>10</v>
      </c>
      <c r="E18" s="4" t="s">
        <v>12</v>
      </c>
      <c r="G18" s="11"/>
      <c r="H18" s="11" t="s">
        <v>20</v>
      </c>
      <c r="I18" s="14"/>
    </row>
    <row r="19" spans="2:12" ht="14.25" customHeight="1" x14ac:dyDescent="0.3">
      <c r="B19" s="4" t="s">
        <v>11</v>
      </c>
      <c r="C19" s="4" t="s">
        <v>9</v>
      </c>
      <c r="D19" s="4" t="s">
        <v>6</v>
      </c>
      <c r="E19" s="4" t="s">
        <v>12</v>
      </c>
      <c r="G19" s="15"/>
      <c r="H19" s="15"/>
      <c r="I19" s="16"/>
    </row>
    <row r="20" spans="2:12" ht="14.25" customHeight="1" x14ac:dyDescent="0.3">
      <c r="G20" s="15"/>
      <c r="H20" s="11" t="s">
        <v>21</v>
      </c>
      <c r="I20" s="14"/>
    </row>
    <row r="21" spans="2:12" ht="14.25" customHeight="1" x14ac:dyDescent="0.3">
      <c r="G21" s="15"/>
      <c r="H21" s="15" t="s">
        <v>22</v>
      </c>
      <c r="I21" s="16"/>
    </row>
    <row r="22" spans="2:12" ht="14.25" customHeight="1" x14ac:dyDescent="0.3">
      <c r="G22" s="15"/>
      <c r="H22" s="15">
        <f>-(((0.5)*LOG(0.5,2))+(0.5*LOG(0.5,2)))</f>
        <v>1</v>
      </c>
      <c r="I22" s="16"/>
    </row>
    <row r="23" spans="2:12" ht="14.25" customHeight="1" x14ac:dyDescent="0.3">
      <c r="G23" s="15"/>
      <c r="H23" s="15"/>
      <c r="I23" s="16"/>
    </row>
    <row r="24" spans="2:12" ht="14.25" customHeight="1" x14ac:dyDescent="0.3">
      <c r="G24" s="11" t="s">
        <v>23</v>
      </c>
      <c r="H24" s="17">
        <v>1</v>
      </c>
      <c r="I24" s="18"/>
    </row>
    <row r="25" spans="2:12" ht="14.25" customHeight="1" x14ac:dyDescent="0.3">
      <c r="G25" s="15"/>
      <c r="H25" s="15"/>
      <c r="I25" s="16"/>
    </row>
    <row r="26" spans="2:12" ht="14.25" customHeight="1" x14ac:dyDescent="0.3">
      <c r="G26" s="9" t="s">
        <v>24</v>
      </c>
      <c r="H26" s="9" t="s">
        <v>25</v>
      </c>
      <c r="I26" s="10"/>
    </row>
    <row r="27" spans="2:12" ht="14.25" customHeight="1" x14ac:dyDescent="0.3">
      <c r="G27" s="11"/>
      <c r="H27" s="11" t="s">
        <v>26</v>
      </c>
      <c r="I27" s="14"/>
    </row>
    <row r="28" spans="2:12" ht="14.25" customHeight="1" x14ac:dyDescent="0.3">
      <c r="G28" s="11"/>
      <c r="H28" s="11" t="s">
        <v>27</v>
      </c>
      <c r="I28" s="14"/>
    </row>
    <row r="29" spans="2:12" ht="14.25" customHeight="1" x14ac:dyDescent="0.3">
      <c r="G29" s="11"/>
      <c r="H29" s="11" t="s">
        <v>28</v>
      </c>
      <c r="I29" s="14"/>
      <c r="J29" s="1" t="s">
        <v>0</v>
      </c>
      <c r="K29" s="1" t="s">
        <v>7</v>
      </c>
      <c r="L29" s="1" t="s">
        <v>12</v>
      </c>
    </row>
    <row r="30" spans="2:12" ht="14.25" customHeight="1" x14ac:dyDescent="0.3">
      <c r="G30" s="11"/>
      <c r="H30" s="11" t="s">
        <v>29</v>
      </c>
      <c r="I30" s="14"/>
      <c r="J30" s="1" t="s">
        <v>4</v>
      </c>
      <c r="K30" s="1">
        <v>3</v>
      </c>
      <c r="L30" s="1">
        <v>0</v>
      </c>
    </row>
    <row r="31" spans="2:12" ht="14.25" customHeight="1" x14ac:dyDescent="0.3">
      <c r="G31" s="15"/>
      <c r="H31" s="15" t="e">
        <f>-((1*LOG(1,2))+(0*LOG(0,2)))</f>
        <v>#NUM!</v>
      </c>
      <c r="I31" s="16"/>
      <c r="J31" s="1" t="s">
        <v>11</v>
      </c>
      <c r="K31" s="1">
        <v>2</v>
      </c>
      <c r="L31" s="1">
        <v>2</v>
      </c>
    </row>
    <row r="32" spans="2:12" ht="14.25" customHeight="1" x14ac:dyDescent="0.3">
      <c r="G32" s="11" t="s">
        <v>30</v>
      </c>
      <c r="H32" s="17">
        <v>0</v>
      </c>
      <c r="I32" s="18"/>
      <c r="J32" s="1" t="s">
        <v>13</v>
      </c>
      <c r="K32" s="1">
        <v>0</v>
      </c>
      <c r="L32" s="1">
        <v>3</v>
      </c>
    </row>
    <row r="33" spans="7:10" ht="14.25" customHeight="1" x14ac:dyDescent="0.3">
      <c r="G33" s="11" t="s">
        <v>31</v>
      </c>
      <c r="H33" s="15">
        <f>3/10</f>
        <v>0.3</v>
      </c>
      <c r="I33" s="16"/>
    </row>
    <row r="34" spans="7:10" ht="14.25" customHeight="1" x14ac:dyDescent="0.3">
      <c r="G34" s="11" t="s">
        <v>32</v>
      </c>
      <c r="H34" s="11" t="s">
        <v>33</v>
      </c>
      <c r="I34" s="14"/>
    </row>
    <row r="35" spans="7:10" ht="14.25" customHeight="1" x14ac:dyDescent="0.3">
      <c r="G35" s="15"/>
      <c r="H35" s="17">
        <f>0*0.3</f>
        <v>0</v>
      </c>
      <c r="I35" s="18"/>
    </row>
    <row r="36" spans="7:10" ht="14.25" customHeight="1" x14ac:dyDescent="0.3">
      <c r="G36" s="15"/>
      <c r="H36" s="11" t="s">
        <v>34</v>
      </c>
      <c r="I36" s="14"/>
      <c r="J36" s="14"/>
    </row>
    <row r="37" spans="7:10" ht="14.25" customHeight="1" x14ac:dyDescent="0.3">
      <c r="G37" s="15"/>
      <c r="H37" s="15">
        <f>-(((0.5)*LOG(0.5,2))+(0.5*LOG(0.5,2)))</f>
        <v>1</v>
      </c>
      <c r="I37" s="16"/>
    </row>
    <row r="38" spans="7:10" ht="14.25" customHeight="1" x14ac:dyDescent="0.3">
      <c r="G38" s="11" t="s">
        <v>35</v>
      </c>
      <c r="H38" s="17">
        <v>1</v>
      </c>
      <c r="I38" s="18"/>
    </row>
    <row r="39" spans="7:10" ht="14.25" customHeight="1" x14ac:dyDescent="0.3">
      <c r="G39" s="11" t="s">
        <v>31</v>
      </c>
      <c r="H39" s="17">
        <v>0.4</v>
      </c>
      <c r="I39" s="18"/>
    </row>
    <row r="40" spans="7:10" ht="14.25" customHeight="1" x14ac:dyDescent="0.3">
      <c r="G40" s="11" t="s">
        <v>36</v>
      </c>
      <c r="H40" s="11" t="s">
        <v>37</v>
      </c>
      <c r="I40" s="14"/>
    </row>
    <row r="41" spans="7:10" ht="14.25" customHeight="1" x14ac:dyDescent="0.3">
      <c r="G41" s="15"/>
      <c r="H41" s="15">
        <f>1*0.4</f>
        <v>0.4</v>
      </c>
      <c r="I41" s="16"/>
    </row>
    <row r="42" spans="7:10" ht="14.25" customHeight="1" x14ac:dyDescent="0.3">
      <c r="G42" s="11" t="s">
        <v>38</v>
      </c>
      <c r="H42" s="15" t="e">
        <f>-((0*LOG(0,2))+(1*LOG(1,2)))</f>
        <v>#NUM!</v>
      </c>
      <c r="I42" s="16"/>
    </row>
    <row r="43" spans="7:10" ht="14.25" customHeight="1" x14ac:dyDescent="0.3">
      <c r="G43" s="11" t="s">
        <v>38</v>
      </c>
      <c r="H43" s="15">
        <v>0</v>
      </c>
      <c r="I43" s="16"/>
    </row>
    <row r="44" spans="7:10" ht="14.25" customHeight="1" x14ac:dyDescent="0.3">
      <c r="G44" s="11" t="s">
        <v>31</v>
      </c>
      <c r="H44" s="15">
        <f>3/10</f>
        <v>0.3</v>
      </c>
      <c r="I44" s="16"/>
    </row>
    <row r="45" spans="7:10" ht="14.25" customHeight="1" x14ac:dyDescent="0.3">
      <c r="G45" s="11" t="s">
        <v>39</v>
      </c>
      <c r="H45" s="11" t="s">
        <v>40</v>
      </c>
      <c r="I45" s="14"/>
    </row>
    <row r="46" spans="7:10" ht="14.25" customHeight="1" x14ac:dyDescent="0.3">
      <c r="G46" s="15"/>
      <c r="H46" s="15">
        <f>0*0.3</f>
        <v>0</v>
      </c>
      <c r="I46" s="16"/>
    </row>
    <row r="47" spans="7:10" ht="14.25" customHeight="1" x14ac:dyDescent="0.3">
      <c r="G47" s="11" t="s">
        <v>41</v>
      </c>
      <c r="H47" s="11" t="s">
        <v>42</v>
      </c>
      <c r="I47" s="14"/>
    </row>
    <row r="48" spans="7:10" ht="14.25" customHeight="1" x14ac:dyDescent="0.3">
      <c r="G48" s="11"/>
      <c r="H48" s="15">
        <f>0+0.4+0</f>
        <v>0.4</v>
      </c>
      <c r="I48" s="16"/>
    </row>
    <row r="49" spans="7:14" ht="14.25" customHeight="1" x14ac:dyDescent="0.3">
      <c r="G49" s="11" t="s">
        <v>43</v>
      </c>
      <c r="H49" s="11" t="s">
        <v>44</v>
      </c>
      <c r="I49" s="14"/>
    </row>
    <row r="50" spans="7:14" ht="14.25" customHeight="1" x14ac:dyDescent="0.3">
      <c r="G50" s="11"/>
      <c r="H50" s="15">
        <f>1-0.4</f>
        <v>0.6</v>
      </c>
      <c r="I50" s="16"/>
    </row>
    <row r="51" spans="7:14" ht="14.25" customHeight="1" x14ac:dyDescent="0.3">
      <c r="G51" s="15"/>
      <c r="H51" s="15"/>
      <c r="I51" s="16"/>
    </row>
    <row r="52" spans="7:14" ht="14.25" customHeight="1" x14ac:dyDescent="0.3">
      <c r="G52" s="9" t="s">
        <v>45</v>
      </c>
      <c r="H52" s="9" t="s">
        <v>46</v>
      </c>
      <c r="I52" s="10"/>
      <c r="J52" s="1" t="s">
        <v>2</v>
      </c>
      <c r="K52" s="1" t="s">
        <v>7</v>
      </c>
      <c r="L52" s="1" t="s">
        <v>12</v>
      </c>
    </row>
    <row r="53" spans="7:14" ht="14.25" customHeight="1" x14ac:dyDescent="0.3">
      <c r="G53" s="15"/>
      <c r="H53" s="11" t="s">
        <v>47</v>
      </c>
      <c r="I53" s="14"/>
      <c r="J53" s="1" t="s">
        <v>6</v>
      </c>
      <c r="K53" s="1">
        <v>3</v>
      </c>
      <c r="L53" s="1">
        <v>3</v>
      </c>
      <c r="N53" s="19" t="s">
        <v>48</v>
      </c>
    </row>
    <row r="54" spans="7:14" ht="14.25" customHeight="1" x14ac:dyDescent="0.3">
      <c r="G54" s="15"/>
      <c r="H54" s="11" t="s">
        <v>49</v>
      </c>
      <c r="I54" s="14"/>
      <c r="J54" s="1" t="s">
        <v>10</v>
      </c>
      <c r="K54" s="1">
        <v>2</v>
      </c>
      <c r="L54" s="1">
        <v>2</v>
      </c>
      <c r="N54" s="19" t="s">
        <v>48</v>
      </c>
    </row>
    <row r="55" spans="7:14" ht="14.25" customHeight="1" x14ac:dyDescent="0.3">
      <c r="G55" s="15"/>
      <c r="H55" s="15">
        <f>-(((0.5)*LOG(0.5,2))+(0.5*LOG(0.5,2)))</f>
        <v>1</v>
      </c>
      <c r="I55" s="16"/>
      <c r="J55" s="1"/>
      <c r="K55" s="1"/>
      <c r="L55" s="1"/>
    </row>
    <row r="56" spans="7:14" ht="14.25" customHeight="1" x14ac:dyDescent="0.3">
      <c r="G56" s="11" t="s">
        <v>50</v>
      </c>
      <c r="H56" s="17">
        <v>1</v>
      </c>
      <c r="I56" s="18"/>
    </row>
    <row r="57" spans="7:14" ht="14.25" customHeight="1" x14ac:dyDescent="0.3">
      <c r="G57" s="11" t="s">
        <v>31</v>
      </c>
      <c r="H57" s="17">
        <f>6/10</f>
        <v>0.6</v>
      </c>
      <c r="I57" s="18"/>
    </row>
    <row r="58" spans="7:14" ht="14.25" customHeight="1" x14ac:dyDescent="0.3">
      <c r="G58" s="11" t="s">
        <v>51</v>
      </c>
      <c r="H58" s="11" t="s">
        <v>52</v>
      </c>
      <c r="I58" s="14"/>
    </row>
    <row r="59" spans="7:14" ht="14.25" customHeight="1" x14ac:dyDescent="0.3">
      <c r="G59" s="15"/>
      <c r="H59" s="15">
        <f>1*0.6</f>
        <v>0.6</v>
      </c>
      <c r="I59" s="16"/>
    </row>
    <row r="60" spans="7:14" ht="14.25" customHeight="1" x14ac:dyDescent="0.3">
      <c r="G60" s="15"/>
      <c r="H60" s="11" t="s">
        <v>53</v>
      </c>
      <c r="I60" s="14"/>
    </row>
    <row r="61" spans="7:14" ht="14.25" customHeight="1" x14ac:dyDescent="0.3">
      <c r="G61" s="15"/>
      <c r="H61" s="15">
        <f>-(((0.5)*LOG(0.5,2))+(0.5*LOG(0.5,2)))</f>
        <v>1</v>
      </c>
      <c r="I61" s="16"/>
    </row>
    <row r="62" spans="7:14" ht="14.25" customHeight="1" x14ac:dyDescent="0.3">
      <c r="G62" s="11" t="s">
        <v>31</v>
      </c>
      <c r="H62" s="17">
        <f>4/10</f>
        <v>0.4</v>
      </c>
      <c r="I62" s="18"/>
    </row>
    <row r="63" spans="7:14" ht="14.25" customHeight="1" x14ac:dyDescent="0.3">
      <c r="G63" s="11" t="s">
        <v>54</v>
      </c>
      <c r="H63" s="11" t="s">
        <v>55</v>
      </c>
      <c r="I63" s="14"/>
    </row>
    <row r="64" spans="7:14" ht="14.25" customHeight="1" x14ac:dyDescent="0.3">
      <c r="G64" s="15"/>
      <c r="H64" s="15">
        <f>1*0.4</f>
        <v>0.4</v>
      </c>
      <c r="I64" s="16"/>
    </row>
    <row r="65" spans="7:16" ht="14.25" customHeight="1" x14ac:dyDescent="0.3">
      <c r="G65" s="11" t="s">
        <v>56</v>
      </c>
      <c r="H65" s="11" t="s">
        <v>57</v>
      </c>
      <c r="I65" s="14"/>
    </row>
    <row r="66" spans="7:16" ht="14.25" customHeight="1" x14ac:dyDescent="0.3">
      <c r="G66" s="15"/>
      <c r="H66" s="15">
        <f>0.6+0.4</f>
        <v>1</v>
      </c>
      <c r="I66" s="16"/>
    </row>
    <row r="67" spans="7:16" ht="14.25" customHeight="1" x14ac:dyDescent="0.3">
      <c r="G67" s="11" t="s">
        <v>58</v>
      </c>
      <c r="H67" s="11" t="s">
        <v>59</v>
      </c>
      <c r="I67" s="14"/>
    </row>
    <row r="68" spans="7:16" ht="14.25" customHeight="1" x14ac:dyDescent="0.3">
      <c r="G68" s="15"/>
      <c r="H68" s="15">
        <f>1-1</f>
        <v>0</v>
      </c>
      <c r="I68" s="16"/>
    </row>
    <row r="69" spans="7:16" ht="14.25" customHeight="1" x14ac:dyDescent="0.3">
      <c r="G69" s="15"/>
      <c r="H69" s="15"/>
      <c r="I69" s="16"/>
    </row>
    <row r="70" spans="7:16" ht="14.25" customHeight="1" x14ac:dyDescent="0.3">
      <c r="G70" s="9" t="s">
        <v>60</v>
      </c>
      <c r="H70" s="9" t="s">
        <v>61</v>
      </c>
      <c r="I70" s="10"/>
      <c r="J70" s="1" t="s">
        <v>1</v>
      </c>
      <c r="K70" s="1" t="s">
        <v>7</v>
      </c>
      <c r="L70" s="1" t="s">
        <v>12</v>
      </c>
    </row>
    <row r="71" spans="7:16" ht="14.25" customHeight="1" x14ac:dyDescent="0.3">
      <c r="G71" s="15"/>
      <c r="H71" s="11" t="s">
        <v>62</v>
      </c>
      <c r="I71" s="14"/>
      <c r="J71" s="1" t="s">
        <v>63</v>
      </c>
      <c r="K71" s="1">
        <v>3</v>
      </c>
      <c r="L71" s="1">
        <v>1</v>
      </c>
      <c r="N71" s="19" t="s">
        <v>64</v>
      </c>
    </row>
    <row r="72" spans="7:16" ht="14.25" customHeight="1" x14ac:dyDescent="0.3">
      <c r="G72" s="15"/>
      <c r="H72" s="11" t="s">
        <v>65</v>
      </c>
      <c r="I72" s="14"/>
      <c r="J72" s="1" t="s">
        <v>66</v>
      </c>
      <c r="K72" s="1">
        <v>2</v>
      </c>
      <c r="L72" s="1">
        <v>4</v>
      </c>
      <c r="N72" s="19" t="s">
        <v>67</v>
      </c>
    </row>
    <row r="73" spans="7:16" ht="14.25" customHeight="1" x14ac:dyDescent="0.3">
      <c r="G73" s="15"/>
      <c r="H73" s="20">
        <f>-((0.75*LOG(0.75,2))+(0.25*LOG(0.25,2)))</f>
        <v>0.81127812445913283</v>
      </c>
      <c r="I73" s="21"/>
    </row>
    <row r="74" spans="7:16" ht="14.25" customHeight="1" x14ac:dyDescent="0.35">
      <c r="G74" s="11" t="s">
        <v>31</v>
      </c>
      <c r="H74" s="17">
        <f>4/10</f>
        <v>0.4</v>
      </c>
      <c r="I74" s="18"/>
      <c r="M74" s="31" t="s">
        <v>68</v>
      </c>
      <c r="N74" s="32"/>
    </row>
    <row r="75" spans="7:16" ht="14.25" customHeight="1" x14ac:dyDescent="0.3">
      <c r="G75" s="11" t="s">
        <v>69</v>
      </c>
      <c r="H75" s="11" t="s">
        <v>70</v>
      </c>
      <c r="I75" s="14"/>
    </row>
    <row r="76" spans="7:16" ht="14.25" customHeight="1" x14ac:dyDescent="0.3">
      <c r="G76" s="15"/>
      <c r="H76" s="20">
        <f>H73*0.4</f>
        <v>0.32451124978365314</v>
      </c>
      <c r="I76" s="21"/>
    </row>
    <row r="77" spans="7:16" ht="14.25" customHeight="1" x14ac:dyDescent="0.3">
      <c r="G77" s="15"/>
      <c r="H77" s="11" t="s">
        <v>71</v>
      </c>
      <c r="I77" s="14"/>
      <c r="P77" s="22" t="s">
        <v>72</v>
      </c>
    </row>
    <row r="78" spans="7:16" ht="14.25" customHeight="1" x14ac:dyDescent="0.3">
      <c r="G78" s="15"/>
      <c r="H78" s="20">
        <f>-((0.33*LOG(0.33,2))+(0.66*LOG(0.66,2)))</f>
        <v>0.92346744971210848</v>
      </c>
      <c r="I78" s="21"/>
      <c r="K78" s="23" t="s">
        <v>73</v>
      </c>
    </row>
    <row r="79" spans="7:16" ht="14.25" customHeight="1" x14ac:dyDescent="0.3">
      <c r="G79" s="11" t="s">
        <v>31</v>
      </c>
      <c r="H79" s="17">
        <f>6/10</f>
        <v>0.6</v>
      </c>
      <c r="I79" s="18"/>
    </row>
    <row r="80" spans="7:16" ht="14.25" customHeight="1" x14ac:dyDescent="0.3">
      <c r="G80" s="11" t="s">
        <v>74</v>
      </c>
      <c r="H80" s="11" t="s">
        <v>75</v>
      </c>
      <c r="I80" s="14"/>
      <c r="N80" s="24" t="s">
        <v>76</v>
      </c>
    </row>
    <row r="81" spans="7:16" ht="14.25" customHeight="1" x14ac:dyDescent="0.3">
      <c r="G81" s="15"/>
      <c r="H81" s="20">
        <f>H78*H79</f>
        <v>0.55408046982726511</v>
      </c>
      <c r="I81" s="21"/>
    </row>
    <row r="82" spans="7:16" ht="14.25" customHeight="1" x14ac:dyDescent="0.3">
      <c r="G82" s="11" t="s">
        <v>77</v>
      </c>
      <c r="H82" s="11" t="s">
        <v>78</v>
      </c>
      <c r="I82" s="14"/>
    </row>
    <row r="83" spans="7:16" ht="14.25" customHeight="1" x14ac:dyDescent="0.3">
      <c r="G83" s="15"/>
      <c r="H83" s="20">
        <f>H76+H81</f>
        <v>0.87859171961091831</v>
      </c>
      <c r="I83" s="21"/>
    </row>
    <row r="84" spans="7:16" ht="14.25" customHeight="1" x14ac:dyDescent="0.3">
      <c r="G84" s="11" t="s">
        <v>79</v>
      </c>
      <c r="H84" s="11" t="s">
        <v>80</v>
      </c>
      <c r="I84" s="14"/>
    </row>
    <row r="85" spans="7:16" ht="14.25" customHeight="1" x14ac:dyDescent="0.3">
      <c r="G85" s="15"/>
      <c r="H85" s="20">
        <f>1-H83</f>
        <v>0.12140828038908169</v>
      </c>
      <c r="I85" s="21"/>
      <c r="K85" s="23" t="s">
        <v>63</v>
      </c>
      <c r="P85" s="22" t="s">
        <v>66</v>
      </c>
    </row>
    <row r="86" spans="7:16" ht="14.25" customHeight="1" x14ac:dyDescent="0.3"/>
    <row r="87" spans="7:16" ht="14.25" customHeight="1" x14ac:dyDescent="0.3"/>
    <row r="88" spans="7:16" ht="14.25" customHeight="1" x14ac:dyDescent="0.3"/>
    <row r="89" spans="7:16" ht="14.25" customHeight="1" x14ac:dyDescent="0.3"/>
    <row r="90" spans="7:16" ht="14.25" customHeight="1" x14ac:dyDescent="0.3"/>
    <row r="91" spans="7:16" ht="14.25" customHeight="1" x14ac:dyDescent="0.3"/>
    <row r="92" spans="7:16" ht="14.25" customHeight="1" x14ac:dyDescent="0.3"/>
    <row r="93" spans="7:16" ht="14.25" customHeight="1" x14ac:dyDescent="0.3"/>
    <row r="94" spans="7:16" ht="14.25" customHeight="1" x14ac:dyDescent="0.3"/>
    <row r="95" spans="7:16" ht="14.25" customHeight="1" x14ac:dyDescent="0.3"/>
    <row r="96" spans="7:1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5">
    <mergeCell ref="J3:J5"/>
    <mergeCell ref="K3:K5"/>
    <mergeCell ref="L3:L5"/>
    <mergeCell ref="M3:M5"/>
    <mergeCell ref="M74:N74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1000"/>
  <sheetViews>
    <sheetView showGridLines="0" workbookViewId="0">
      <selection activeCell="H21" sqref="H21"/>
    </sheetView>
  </sheetViews>
  <sheetFormatPr defaultColWidth="14.44140625" defaultRowHeight="15" customHeight="1" x14ac:dyDescent="0.3"/>
  <cols>
    <col min="1" max="1" width="8.6640625" customWidth="1"/>
    <col min="2" max="2" width="9.88671875" customWidth="1"/>
    <col min="3" max="3" width="12.44140625" customWidth="1"/>
    <col min="4" max="4" width="14.44140625" customWidth="1"/>
    <col min="5" max="6" width="8.6640625" customWidth="1"/>
    <col min="7" max="7" width="22.33203125" customWidth="1"/>
    <col min="8" max="8" width="43" customWidth="1"/>
    <col min="9" max="9" width="12.5546875" customWidth="1"/>
    <col min="10" max="10" width="15" customWidth="1"/>
    <col min="11" max="11" width="9.88671875" customWidth="1"/>
    <col min="12" max="12" width="12.44140625" customWidth="1"/>
    <col min="13" max="13" width="14.44140625" customWidth="1"/>
    <col min="14" max="26" width="8.6640625" customWidth="1"/>
  </cols>
  <sheetData>
    <row r="1" spans="2:13" ht="14.25" customHeight="1" x14ac:dyDescent="0.3"/>
    <row r="2" spans="2:13" ht="14.25" customHeight="1" x14ac:dyDescent="0.3">
      <c r="B2" s="1" t="s">
        <v>81</v>
      </c>
      <c r="C2" s="1" t="s">
        <v>82</v>
      </c>
      <c r="D2" s="1" t="s">
        <v>83</v>
      </c>
      <c r="E2" s="1" t="s">
        <v>84</v>
      </c>
      <c r="F2" s="2"/>
      <c r="J2" s="3"/>
      <c r="K2" s="3" t="s">
        <v>81</v>
      </c>
      <c r="L2" s="3" t="s">
        <v>82</v>
      </c>
      <c r="M2" s="3" t="s">
        <v>83</v>
      </c>
    </row>
    <row r="3" spans="2:13" ht="14.25" customHeight="1" x14ac:dyDescent="0.3">
      <c r="B3" s="4" t="s">
        <v>85</v>
      </c>
      <c r="C3" s="4" t="s">
        <v>86</v>
      </c>
      <c r="D3" s="4" t="s">
        <v>87</v>
      </c>
      <c r="E3" s="4" t="s">
        <v>12</v>
      </c>
      <c r="F3" s="5"/>
      <c r="J3" s="28" t="s">
        <v>8</v>
      </c>
      <c r="K3" s="28">
        <v>0.41699999999999998</v>
      </c>
      <c r="L3" s="28">
        <v>1.72E-2</v>
      </c>
      <c r="M3" s="28">
        <v>0.28100000000000003</v>
      </c>
    </row>
    <row r="4" spans="2:13" ht="14.25" customHeight="1" x14ac:dyDescent="0.3">
      <c r="B4" s="4" t="s">
        <v>88</v>
      </c>
      <c r="C4" s="4" t="s">
        <v>87</v>
      </c>
      <c r="D4" s="4" t="s">
        <v>86</v>
      </c>
      <c r="E4" s="4" t="s">
        <v>7</v>
      </c>
      <c r="F4" s="5"/>
      <c r="J4" s="29"/>
      <c r="K4" s="29"/>
      <c r="L4" s="29"/>
      <c r="M4" s="29"/>
    </row>
    <row r="5" spans="2:13" ht="14.25" customHeight="1" x14ac:dyDescent="0.3">
      <c r="B5" s="4" t="s">
        <v>85</v>
      </c>
      <c r="C5" s="4" t="s">
        <v>86</v>
      </c>
      <c r="D5" s="4" t="s">
        <v>87</v>
      </c>
      <c r="E5" s="4" t="s">
        <v>12</v>
      </c>
      <c r="F5" s="5"/>
      <c r="J5" s="30"/>
      <c r="K5" s="30"/>
      <c r="L5" s="30"/>
      <c r="M5" s="30"/>
    </row>
    <row r="6" spans="2:13" ht="14.25" customHeight="1" x14ac:dyDescent="0.3">
      <c r="B6" s="4" t="s">
        <v>85</v>
      </c>
      <c r="C6" s="4" t="s">
        <v>87</v>
      </c>
      <c r="D6" s="4" t="s">
        <v>87</v>
      </c>
      <c r="E6" s="4" t="s">
        <v>12</v>
      </c>
      <c r="F6" s="5"/>
    </row>
    <row r="7" spans="2:13" ht="14.25" customHeight="1" x14ac:dyDescent="0.3">
      <c r="B7" s="4" t="s">
        <v>88</v>
      </c>
      <c r="C7" s="4" t="s">
        <v>86</v>
      </c>
      <c r="D7" s="4" t="s">
        <v>87</v>
      </c>
      <c r="E7" s="4" t="s">
        <v>7</v>
      </c>
      <c r="F7" s="5"/>
    </row>
    <row r="8" spans="2:13" ht="14.25" customHeight="1" x14ac:dyDescent="0.3">
      <c r="B8" s="4" t="s">
        <v>85</v>
      </c>
      <c r="C8" s="4" t="s">
        <v>86</v>
      </c>
      <c r="D8" s="4" t="s">
        <v>86</v>
      </c>
      <c r="E8" s="4" t="s">
        <v>7</v>
      </c>
      <c r="F8" s="5"/>
      <c r="J8" s="3"/>
      <c r="K8" s="3"/>
      <c r="L8" s="3" t="s">
        <v>82</v>
      </c>
      <c r="M8" s="3" t="s">
        <v>83</v>
      </c>
    </row>
    <row r="9" spans="2:13" ht="14.25" customHeight="1" x14ac:dyDescent="0.3">
      <c r="B9" s="4" t="s">
        <v>88</v>
      </c>
      <c r="C9" s="4" t="s">
        <v>87</v>
      </c>
      <c r="D9" s="4" t="s">
        <v>87</v>
      </c>
      <c r="E9" s="4" t="s">
        <v>7</v>
      </c>
      <c r="F9" s="5"/>
      <c r="J9" s="28" t="s">
        <v>8</v>
      </c>
      <c r="K9" s="28"/>
      <c r="L9" s="28">
        <v>0.25700000000000001</v>
      </c>
      <c r="M9" s="28">
        <v>0.92300000000000004</v>
      </c>
    </row>
    <row r="10" spans="2:13" ht="14.25" customHeight="1" x14ac:dyDescent="0.3">
      <c r="B10" s="4" t="s">
        <v>88</v>
      </c>
      <c r="C10" s="4" t="s">
        <v>86</v>
      </c>
      <c r="D10" s="4" t="s">
        <v>87</v>
      </c>
      <c r="E10" s="4" t="s">
        <v>7</v>
      </c>
      <c r="F10" s="5"/>
      <c r="J10" s="29"/>
      <c r="K10" s="29"/>
      <c r="L10" s="29"/>
      <c r="M10" s="29"/>
    </row>
    <row r="11" spans="2:13" ht="14.25" customHeight="1" x14ac:dyDescent="0.3">
      <c r="B11" s="4" t="s">
        <v>85</v>
      </c>
      <c r="C11" s="4" t="s">
        <v>86</v>
      </c>
      <c r="D11" s="4" t="s">
        <v>86</v>
      </c>
      <c r="E11" s="4" t="s">
        <v>7</v>
      </c>
      <c r="F11" s="5"/>
      <c r="J11" s="30"/>
      <c r="K11" s="30"/>
      <c r="L11" s="30"/>
      <c r="M11" s="30"/>
    </row>
    <row r="12" spans="2:13" ht="14.25" customHeight="1" x14ac:dyDescent="0.3">
      <c r="B12" s="4" t="s">
        <v>85</v>
      </c>
      <c r="C12" s="4" t="s">
        <v>87</v>
      </c>
      <c r="D12" s="4" t="s">
        <v>87</v>
      </c>
      <c r="E12" s="4" t="s">
        <v>12</v>
      </c>
      <c r="F12" s="5"/>
    </row>
    <row r="13" spans="2:13" ht="14.25" customHeight="1" x14ac:dyDescent="0.3"/>
    <row r="14" spans="2:13" ht="14.25" customHeight="1" x14ac:dyDescent="0.3">
      <c r="G14" s="6" t="s">
        <v>14</v>
      </c>
      <c r="H14" s="7" t="s">
        <v>89</v>
      </c>
      <c r="I14" s="8"/>
    </row>
    <row r="15" spans="2:13" ht="14.25" customHeight="1" x14ac:dyDescent="0.3">
      <c r="B15" s="1" t="s">
        <v>81</v>
      </c>
      <c r="C15" s="1" t="s">
        <v>82</v>
      </c>
      <c r="D15" s="1" t="s">
        <v>83</v>
      </c>
      <c r="E15" s="1" t="s">
        <v>84</v>
      </c>
      <c r="G15" s="9" t="s">
        <v>16</v>
      </c>
      <c r="H15" s="9" t="s">
        <v>90</v>
      </c>
      <c r="I15" s="10"/>
    </row>
    <row r="16" spans="2:13" ht="23.25" customHeight="1" x14ac:dyDescent="0.3">
      <c r="B16" s="4" t="s">
        <v>85</v>
      </c>
      <c r="C16" s="4" t="s">
        <v>86</v>
      </c>
      <c r="D16" s="4" t="s">
        <v>87</v>
      </c>
      <c r="E16" s="4" t="s">
        <v>12</v>
      </c>
      <c r="G16" s="11"/>
      <c r="H16" s="12" t="s">
        <v>18</v>
      </c>
      <c r="I16" s="13"/>
    </row>
    <row r="17" spans="2:14" ht="14.25" customHeight="1" x14ac:dyDescent="0.3">
      <c r="B17" s="4" t="s">
        <v>85</v>
      </c>
      <c r="C17" s="4" t="s">
        <v>86</v>
      </c>
      <c r="D17" s="4" t="s">
        <v>87</v>
      </c>
      <c r="E17" s="4" t="s">
        <v>12</v>
      </c>
      <c r="G17" s="11"/>
      <c r="H17" s="11" t="s">
        <v>91</v>
      </c>
      <c r="I17" s="14"/>
    </row>
    <row r="18" spans="2:14" ht="14.25" customHeight="1" x14ac:dyDescent="0.3">
      <c r="B18" s="4" t="s">
        <v>85</v>
      </c>
      <c r="C18" s="4" t="s">
        <v>87</v>
      </c>
      <c r="D18" s="4" t="s">
        <v>87</v>
      </c>
      <c r="E18" s="4" t="s">
        <v>12</v>
      </c>
      <c r="G18" s="11"/>
      <c r="H18" s="11" t="s">
        <v>92</v>
      </c>
      <c r="I18" s="14"/>
    </row>
    <row r="19" spans="2:14" ht="14.25" customHeight="1" x14ac:dyDescent="0.3">
      <c r="B19" s="4" t="s">
        <v>85</v>
      </c>
      <c r="C19" s="4" t="s">
        <v>86</v>
      </c>
      <c r="D19" s="4" t="s">
        <v>86</v>
      </c>
      <c r="E19" s="4" t="s">
        <v>7</v>
      </c>
      <c r="G19" s="15"/>
      <c r="H19" s="15"/>
      <c r="I19" s="16"/>
    </row>
    <row r="20" spans="2:14" ht="14.25" customHeight="1" x14ac:dyDescent="0.3">
      <c r="B20" s="4" t="s">
        <v>85</v>
      </c>
      <c r="C20" s="4" t="s">
        <v>86</v>
      </c>
      <c r="D20" s="4" t="s">
        <v>86</v>
      </c>
      <c r="E20" s="4" t="s">
        <v>7</v>
      </c>
      <c r="G20" s="15"/>
      <c r="H20" s="11" t="s">
        <v>93</v>
      </c>
      <c r="I20" s="14"/>
    </row>
    <row r="21" spans="2:14" ht="14.25" customHeight="1" x14ac:dyDescent="0.3">
      <c r="B21" s="4" t="s">
        <v>85</v>
      </c>
      <c r="C21" s="4" t="s">
        <v>87</v>
      </c>
      <c r="D21" s="4" t="s">
        <v>87</v>
      </c>
      <c r="E21" s="4" t="s">
        <v>12</v>
      </c>
      <c r="G21" s="15"/>
      <c r="H21" s="15" t="s">
        <v>94</v>
      </c>
      <c r="I21" s="16"/>
    </row>
    <row r="22" spans="2:14" ht="14.25" customHeight="1" x14ac:dyDescent="0.3">
      <c r="G22" s="15"/>
      <c r="H22" s="20">
        <f>-(((0.4)*LOG(0.4,2))+(0.6*LOG(0.6,2)))</f>
        <v>0.97095059445466858</v>
      </c>
      <c r="I22" s="16"/>
    </row>
    <row r="23" spans="2:14" ht="14.25" customHeight="1" x14ac:dyDescent="0.3">
      <c r="G23" s="15"/>
      <c r="H23" s="15"/>
      <c r="I23" s="16"/>
    </row>
    <row r="24" spans="2:14" ht="14.25" customHeight="1" x14ac:dyDescent="0.3">
      <c r="G24" s="11" t="s">
        <v>95</v>
      </c>
      <c r="H24" s="17">
        <v>0.97099999999999997</v>
      </c>
      <c r="I24" s="18"/>
    </row>
    <row r="25" spans="2:14" ht="14.25" customHeight="1" x14ac:dyDescent="0.3">
      <c r="G25" s="15"/>
      <c r="H25" s="15"/>
      <c r="I25" s="16"/>
    </row>
    <row r="26" spans="2:14" ht="14.25" customHeight="1" x14ac:dyDescent="0.3">
      <c r="G26" s="9" t="s">
        <v>24</v>
      </c>
      <c r="H26" s="9" t="s">
        <v>96</v>
      </c>
      <c r="I26" s="10"/>
    </row>
    <row r="27" spans="2:14" ht="14.25" customHeight="1" x14ac:dyDescent="0.3">
      <c r="G27" s="11"/>
      <c r="H27" s="11" t="s">
        <v>97</v>
      </c>
      <c r="I27" s="14"/>
    </row>
    <row r="28" spans="2:14" ht="14.25" customHeight="1" x14ac:dyDescent="0.3">
      <c r="G28" s="11"/>
      <c r="H28" s="11" t="s">
        <v>98</v>
      </c>
      <c r="I28" s="14"/>
    </row>
    <row r="29" spans="2:14" ht="14.25" customHeight="1" x14ac:dyDescent="0.3">
      <c r="G29" s="11"/>
      <c r="H29" s="11" t="s">
        <v>99</v>
      </c>
      <c r="I29" s="14"/>
      <c r="J29" s="1" t="s">
        <v>100</v>
      </c>
      <c r="K29" s="1" t="s">
        <v>7</v>
      </c>
      <c r="L29" s="1" t="s">
        <v>12</v>
      </c>
    </row>
    <row r="30" spans="2:14" ht="14.25" customHeight="1" x14ac:dyDescent="0.3">
      <c r="G30" s="11"/>
      <c r="H30" s="11" t="s">
        <v>101</v>
      </c>
      <c r="I30" s="14"/>
      <c r="J30" s="1" t="s">
        <v>85</v>
      </c>
      <c r="K30" s="1">
        <v>4</v>
      </c>
      <c r="L30" s="1">
        <v>2</v>
      </c>
      <c r="N30" s="19" t="s">
        <v>102</v>
      </c>
    </row>
    <row r="31" spans="2:14" ht="14.25" customHeight="1" x14ac:dyDescent="0.3">
      <c r="G31" s="15"/>
      <c r="H31" s="15">
        <f>-(((0.66)*LOG(0.66,2))+(0.33*LOG(0.33,2)))</f>
        <v>0.92346744971210848</v>
      </c>
      <c r="I31" s="16"/>
      <c r="J31" s="1" t="s">
        <v>88</v>
      </c>
      <c r="K31" s="1">
        <v>0</v>
      </c>
      <c r="L31" s="1">
        <v>4</v>
      </c>
      <c r="N31" s="19" t="s">
        <v>103</v>
      </c>
    </row>
    <row r="32" spans="2:14" ht="14.25" customHeight="1" x14ac:dyDescent="0.3">
      <c r="G32" s="11" t="s">
        <v>104</v>
      </c>
      <c r="H32" s="17">
        <v>0.92300000000000004</v>
      </c>
      <c r="I32" s="18"/>
      <c r="J32" s="1"/>
      <c r="K32" s="1"/>
      <c r="L32" s="1"/>
    </row>
    <row r="33" spans="7:14" ht="14.25" customHeight="1" x14ac:dyDescent="0.3">
      <c r="G33" s="11" t="s">
        <v>31</v>
      </c>
      <c r="H33" s="15">
        <f>6/10</f>
        <v>0.6</v>
      </c>
      <c r="I33" s="16"/>
    </row>
    <row r="34" spans="7:14" ht="14.25" customHeight="1" x14ac:dyDescent="0.3">
      <c r="G34" s="11" t="s">
        <v>105</v>
      </c>
      <c r="H34" s="11" t="s">
        <v>106</v>
      </c>
      <c r="I34" s="14"/>
    </row>
    <row r="35" spans="7:14" ht="14.25" customHeight="1" x14ac:dyDescent="0.3">
      <c r="G35" s="15"/>
      <c r="H35" s="25">
        <f>H32*H33</f>
        <v>0.55379999999999996</v>
      </c>
      <c r="I35" s="18"/>
    </row>
    <row r="36" spans="7:14" ht="14.25" customHeight="1" x14ac:dyDescent="0.3">
      <c r="G36" s="15"/>
      <c r="H36" s="11" t="s">
        <v>107</v>
      </c>
      <c r="I36" s="14"/>
      <c r="J36" s="14"/>
    </row>
    <row r="37" spans="7:14" ht="14.25" customHeight="1" x14ac:dyDescent="0.3">
      <c r="G37" s="15"/>
      <c r="H37" s="15" t="e">
        <f>-((0*LOG(0,2))+(1*LOG(1,2)))</f>
        <v>#NUM!</v>
      </c>
      <c r="I37" s="16"/>
    </row>
    <row r="38" spans="7:14" ht="14.25" customHeight="1" x14ac:dyDescent="0.3">
      <c r="G38" s="11" t="s">
        <v>108</v>
      </c>
      <c r="H38" s="17">
        <v>0</v>
      </c>
      <c r="I38" s="18"/>
    </row>
    <row r="39" spans="7:14" ht="14.25" customHeight="1" x14ac:dyDescent="0.3">
      <c r="G39" s="11" t="s">
        <v>31</v>
      </c>
      <c r="H39" s="17">
        <f>4/10</f>
        <v>0.4</v>
      </c>
      <c r="I39" s="18"/>
    </row>
    <row r="40" spans="7:14" ht="14.25" customHeight="1" x14ac:dyDescent="0.3">
      <c r="G40" s="11" t="s">
        <v>109</v>
      </c>
      <c r="H40" s="11" t="s">
        <v>110</v>
      </c>
      <c r="I40" s="14"/>
    </row>
    <row r="41" spans="7:14" ht="14.25" customHeight="1" x14ac:dyDescent="0.3">
      <c r="G41" s="15"/>
      <c r="H41" s="15">
        <f>H38*H39</f>
        <v>0</v>
      </c>
      <c r="I41" s="16"/>
    </row>
    <row r="42" spans="7:14" ht="14.25" customHeight="1" x14ac:dyDescent="0.3">
      <c r="G42" s="11" t="s">
        <v>111</v>
      </c>
      <c r="H42" s="11" t="s">
        <v>112</v>
      </c>
      <c r="I42" s="14"/>
    </row>
    <row r="43" spans="7:14" ht="14.25" customHeight="1" x14ac:dyDescent="0.3">
      <c r="G43" s="11"/>
      <c r="H43" s="20">
        <f>H35+H41</f>
        <v>0.55379999999999996</v>
      </c>
      <c r="I43" s="16"/>
    </row>
    <row r="44" spans="7:14" ht="14.25" customHeight="1" x14ac:dyDescent="0.3">
      <c r="G44" s="11" t="s">
        <v>113</v>
      </c>
      <c r="H44" s="11" t="s">
        <v>114</v>
      </c>
      <c r="I44" s="14"/>
    </row>
    <row r="45" spans="7:14" ht="14.25" customHeight="1" x14ac:dyDescent="0.3">
      <c r="G45" s="11"/>
      <c r="H45" s="20">
        <f>H24-H43</f>
        <v>0.41720000000000002</v>
      </c>
      <c r="I45" s="16"/>
    </row>
    <row r="46" spans="7:14" ht="14.25" customHeight="1" x14ac:dyDescent="0.3">
      <c r="G46" s="15"/>
      <c r="H46" s="15"/>
      <c r="I46" s="16"/>
    </row>
    <row r="47" spans="7:14" ht="14.25" customHeight="1" x14ac:dyDescent="0.3">
      <c r="G47" s="9" t="s">
        <v>45</v>
      </c>
      <c r="H47" s="9" t="s">
        <v>115</v>
      </c>
      <c r="I47" s="10"/>
      <c r="J47" s="1" t="s">
        <v>116</v>
      </c>
      <c r="K47" s="1" t="s">
        <v>7</v>
      </c>
      <c r="L47" s="1" t="s">
        <v>12</v>
      </c>
    </row>
    <row r="48" spans="7:14" ht="14.25" customHeight="1" x14ac:dyDescent="0.3">
      <c r="G48" s="15"/>
      <c r="H48" s="11" t="s">
        <v>117</v>
      </c>
      <c r="I48" s="14"/>
      <c r="J48" s="1" t="s">
        <v>86</v>
      </c>
      <c r="K48" s="1">
        <v>2</v>
      </c>
      <c r="L48" s="1">
        <v>4</v>
      </c>
      <c r="N48" s="19" t="s">
        <v>118</v>
      </c>
    </row>
    <row r="49" spans="7:14" ht="14.25" customHeight="1" x14ac:dyDescent="0.3">
      <c r="G49" s="15"/>
      <c r="H49" s="11" t="s">
        <v>119</v>
      </c>
      <c r="I49" s="14"/>
      <c r="J49" s="1" t="s">
        <v>87</v>
      </c>
      <c r="K49" s="1">
        <v>2</v>
      </c>
      <c r="L49" s="1">
        <v>2</v>
      </c>
      <c r="N49" s="19" t="s">
        <v>120</v>
      </c>
    </row>
    <row r="50" spans="7:14" ht="14.25" customHeight="1" x14ac:dyDescent="0.3">
      <c r="G50" s="15"/>
      <c r="H50" s="20">
        <f>-((0.33*LOG(0.33,2))+(0.66*LOG(0.66,2)))</f>
        <v>0.92346744971210848</v>
      </c>
      <c r="I50" s="16"/>
      <c r="J50" s="1"/>
      <c r="K50" s="1"/>
      <c r="L50" s="1"/>
    </row>
    <row r="51" spans="7:14" ht="14.25" customHeight="1" x14ac:dyDescent="0.3">
      <c r="G51" s="11" t="s">
        <v>121</v>
      </c>
      <c r="H51" s="17">
        <v>0.92300000000000004</v>
      </c>
      <c r="I51" s="18"/>
    </row>
    <row r="52" spans="7:14" ht="14.25" customHeight="1" x14ac:dyDescent="0.3">
      <c r="G52" s="11" t="s">
        <v>31</v>
      </c>
      <c r="H52" s="17">
        <f>6/10</f>
        <v>0.6</v>
      </c>
      <c r="I52" s="18"/>
    </row>
    <row r="53" spans="7:14" ht="14.25" customHeight="1" x14ac:dyDescent="0.3">
      <c r="G53" s="11" t="s">
        <v>122</v>
      </c>
      <c r="H53" s="11" t="s">
        <v>123</v>
      </c>
      <c r="I53" s="14"/>
    </row>
    <row r="54" spans="7:14" ht="14.25" customHeight="1" x14ac:dyDescent="0.3">
      <c r="G54" s="15"/>
      <c r="H54" s="15">
        <f>H51*H52</f>
        <v>0.55379999999999996</v>
      </c>
      <c r="I54" s="16"/>
    </row>
    <row r="55" spans="7:14" ht="14.25" customHeight="1" x14ac:dyDescent="0.3">
      <c r="G55" s="15"/>
      <c r="H55" s="11" t="s">
        <v>124</v>
      </c>
      <c r="I55" s="14"/>
    </row>
    <row r="56" spans="7:14" ht="14.25" customHeight="1" x14ac:dyDescent="0.3">
      <c r="G56" s="15"/>
      <c r="H56" s="15">
        <f>-((0.5*LOG(0.5,2))+(0.5*LOG(0.5,2)))</f>
        <v>1</v>
      </c>
      <c r="I56" s="16"/>
    </row>
    <row r="57" spans="7:14" ht="14.25" customHeight="1" x14ac:dyDescent="0.3">
      <c r="G57" s="11" t="s">
        <v>31</v>
      </c>
      <c r="H57" s="17">
        <f>4/10</f>
        <v>0.4</v>
      </c>
      <c r="I57" s="18"/>
    </row>
    <row r="58" spans="7:14" ht="14.25" customHeight="1" x14ac:dyDescent="0.3">
      <c r="G58" s="11" t="s">
        <v>125</v>
      </c>
      <c r="H58" s="11" t="s">
        <v>126</v>
      </c>
      <c r="I58" s="14"/>
    </row>
    <row r="59" spans="7:14" ht="14.25" customHeight="1" x14ac:dyDescent="0.3">
      <c r="G59" s="15"/>
      <c r="H59" s="15">
        <f>H56*H57</f>
        <v>0.4</v>
      </c>
      <c r="I59" s="16"/>
    </row>
    <row r="60" spans="7:14" ht="14.25" customHeight="1" x14ac:dyDescent="0.3">
      <c r="G60" s="11" t="s">
        <v>127</v>
      </c>
      <c r="H60" s="11" t="s">
        <v>128</v>
      </c>
      <c r="I60" s="14"/>
    </row>
    <row r="61" spans="7:14" ht="14.25" customHeight="1" x14ac:dyDescent="0.3">
      <c r="G61" s="15"/>
      <c r="H61" s="20">
        <f>H54+H59</f>
        <v>0.95379999999999998</v>
      </c>
      <c r="I61" s="16"/>
    </row>
    <row r="62" spans="7:14" ht="14.25" customHeight="1" x14ac:dyDescent="0.3">
      <c r="G62" s="11" t="s">
        <v>129</v>
      </c>
      <c r="H62" s="11" t="s">
        <v>130</v>
      </c>
      <c r="I62" s="14"/>
    </row>
    <row r="63" spans="7:14" ht="14.25" customHeight="1" x14ac:dyDescent="0.3">
      <c r="G63" s="15"/>
      <c r="H63" s="20">
        <f>H24-H61</f>
        <v>1.7199999999999993E-2</v>
      </c>
      <c r="I63" s="16"/>
    </row>
    <row r="64" spans="7:14" ht="14.25" customHeight="1" x14ac:dyDescent="0.3">
      <c r="G64" s="15"/>
      <c r="H64" s="15"/>
      <c r="I64" s="16"/>
    </row>
    <row r="65" spans="7:16" ht="14.25" customHeight="1" x14ac:dyDescent="0.3">
      <c r="G65" s="9" t="s">
        <v>60</v>
      </c>
      <c r="H65" s="9" t="s">
        <v>131</v>
      </c>
      <c r="I65" s="10"/>
      <c r="J65" s="1" t="s">
        <v>83</v>
      </c>
      <c r="K65" s="1" t="s">
        <v>7</v>
      </c>
      <c r="L65" s="1" t="s">
        <v>12</v>
      </c>
    </row>
    <row r="66" spans="7:16" ht="14.25" customHeight="1" x14ac:dyDescent="0.3">
      <c r="G66" s="15"/>
      <c r="H66" s="11" t="s">
        <v>132</v>
      </c>
      <c r="I66" s="14"/>
      <c r="J66" s="1" t="s">
        <v>86</v>
      </c>
      <c r="K66" s="1">
        <v>0</v>
      </c>
      <c r="L66" s="1">
        <v>3</v>
      </c>
      <c r="N66" s="19" t="s">
        <v>133</v>
      </c>
    </row>
    <row r="67" spans="7:16" ht="14.25" customHeight="1" x14ac:dyDescent="0.3">
      <c r="G67" s="15"/>
      <c r="H67" s="11" t="s">
        <v>119</v>
      </c>
      <c r="I67" s="14"/>
      <c r="J67" s="1" t="s">
        <v>87</v>
      </c>
      <c r="K67" s="1">
        <v>4</v>
      </c>
      <c r="L67" s="1">
        <v>3</v>
      </c>
      <c r="N67" s="19" t="s">
        <v>134</v>
      </c>
    </row>
    <row r="68" spans="7:16" ht="14.25" customHeight="1" x14ac:dyDescent="0.3">
      <c r="G68" s="15"/>
      <c r="H68" s="20" t="e">
        <f>-((0*LOG(0,2))+(1*LOG(1,2)))</f>
        <v>#NUM!</v>
      </c>
      <c r="I68" s="21"/>
    </row>
    <row r="69" spans="7:16" ht="14.25" customHeight="1" x14ac:dyDescent="0.35">
      <c r="G69" s="11" t="s">
        <v>31</v>
      </c>
      <c r="H69" s="17">
        <f>3/10</f>
        <v>0.3</v>
      </c>
      <c r="I69" s="18"/>
      <c r="M69" s="31" t="s">
        <v>68</v>
      </c>
      <c r="N69" s="32"/>
    </row>
    <row r="70" spans="7:16" ht="14.25" customHeight="1" x14ac:dyDescent="0.3">
      <c r="G70" s="11" t="s">
        <v>122</v>
      </c>
      <c r="H70" s="11" t="s">
        <v>123</v>
      </c>
      <c r="I70" s="14"/>
    </row>
    <row r="71" spans="7:16" ht="14.25" customHeight="1" x14ac:dyDescent="0.3">
      <c r="G71" s="15"/>
      <c r="H71" s="20">
        <f>0*0.3</f>
        <v>0</v>
      </c>
      <c r="I71" s="21"/>
    </row>
    <row r="72" spans="7:16" ht="14.25" customHeight="1" x14ac:dyDescent="0.3">
      <c r="G72" s="15"/>
      <c r="H72" s="11" t="s">
        <v>124</v>
      </c>
      <c r="I72" s="14"/>
      <c r="K72" s="24" t="s">
        <v>85</v>
      </c>
      <c r="P72" s="22" t="s">
        <v>88</v>
      </c>
    </row>
    <row r="73" spans="7:16" ht="14.25" customHeight="1" x14ac:dyDescent="0.3">
      <c r="G73" s="15"/>
      <c r="H73" s="20">
        <f>-(((4/7)*LOG((4/7),2))+((3/7)*LOG((3/7),2)))</f>
        <v>0.98522813603425163</v>
      </c>
      <c r="I73" s="21"/>
      <c r="K73" s="23"/>
    </row>
    <row r="74" spans="7:16" ht="14.25" customHeight="1" x14ac:dyDescent="0.3">
      <c r="G74" s="11" t="s">
        <v>31</v>
      </c>
      <c r="H74" s="17">
        <f>7/10</f>
        <v>0.7</v>
      </c>
      <c r="I74" s="18"/>
    </row>
    <row r="75" spans="7:16" ht="14.25" customHeight="1" x14ac:dyDescent="0.3">
      <c r="G75" s="11" t="s">
        <v>125</v>
      </c>
      <c r="H75" s="11" t="s">
        <v>126</v>
      </c>
      <c r="I75" s="14"/>
      <c r="N75" s="24"/>
    </row>
    <row r="76" spans="7:16" ht="14.25" customHeight="1" x14ac:dyDescent="0.3">
      <c r="G76" s="15"/>
      <c r="H76" s="20">
        <f>H73*H74</f>
        <v>0.68965969522397608</v>
      </c>
      <c r="I76" s="21"/>
    </row>
    <row r="77" spans="7:16" ht="14.25" customHeight="1" x14ac:dyDescent="0.3">
      <c r="G77" s="11" t="s">
        <v>135</v>
      </c>
      <c r="H77" s="11" t="s">
        <v>128</v>
      </c>
      <c r="I77" s="14"/>
    </row>
    <row r="78" spans="7:16" ht="14.25" customHeight="1" x14ac:dyDescent="0.3">
      <c r="G78" s="15"/>
      <c r="H78" s="20">
        <f>H71+H76</f>
        <v>0.68965969522397608</v>
      </c>
      <c r="I78" s="21"/>
    </row>
    <row r="79" spans="7:16" ht="14.25" customHeight="1" x14ac:dyDescent="0.3">
      <c r="G79" s="11" t="s">
        <v>136</v>
      </c>
      <c r="H79" s="11" t="s">
        <v>137</v>
      </c>
      <c r="I79" s="14"/>
    </row>
    <row r="80" spans="7:16" ht="14.25" customHeight="1" x14ac:dyDescent="0.3">
      <c r="G80" s="15"/>
      <c r="H80" s="20">
        <f>H24-H78</f>
        <v>0.2813403047760239</v>
      </c>
      <c r="I80" s="21"/>
      <c r="K80" s="23"/>
      <c r="P80" s="22"/>
    </row>
    <row r="81" spans="3:13" ht="14.25" customHeight="1" x14ac:dyDescent="0.3">
      <c r="C81" s="3" t="s">
        <v>138</v>
      </c>
    </row>
    <row r="82" spans="3:13" ht="14.25" customHeight="1" x14ac:dyDescent="0.3"/>
    <row r="83" spans="3:13" ht="14.25" customHeight="1" x14ac:dyDescent="0.3">
      <c r="C83" s="1" t="s">
        <v>116</v>
      </c>
      <c r="D83" s="1" t="s">
        <v>7</v>
      </c>
      <c r="E83" s="1" t="s">
        <v>12</v>
      </c>
      <c r="G83" s="6" t="s">
        <v>14</v>
      </c>
      <c r="H83" s="7" t="s">
        <v>139</v>
      </c>
    </row>
    <row r="84" spans="3:13" ht="14.25" customHeight="1" x14ac:dyDescent="0.3">
      <c r="C84" s="1" t="s">
        <v>87</v>
      </c>
      <c r="D84" s="1">
        <v>0</v>
      </c>
      <c r="E84" s="1">
        <v>4</v>
      </c>
      <c r="G84" s="9" t="s">
        <v>16</v>
      </c>
      <c r="H84" s="9" t="s">
        <v>90</v>
      </c>
      <c r="J84" s="24" t="s">
        <v>87</v>
      </c>
      <c r="L84" s="22" t="s">
        <v>140</v>
      </c>
      <c r="M84" s="24"/>
    </row>
    <row r="85" spans="3:13" ht="14.25" customHeight="1" x14ac:dyDescent="0.3">
      <c r="C85" s="1" t="s">
        <v>86</v>
      </c>
      <c r="D85" s="1">
        <v>2</v>
      </c>
      <c r="E85" s="1">
        <v>0</v>
      </c>
      <c r="G85" s="11"/>
      <c r="H85" s="12" t="s">
        <v>18</v>
      </c>
    </row>
    <row r="86" spans="3:13" ht="14.25" customHeight="1" x14ac:dyDescent="0.3">
      <c r="C86" s="1"/>
      <c r="D86" s="1"/>
      <c r="E86" s="1"/>
      <c r="G86" s="11"/>
      <c r="H86" s="11" t="s">
        <v>141</v>
      </c>
    </row>
    <row r="87" spans="3:13" ht="14.25" customHeight="1" x14ac:dyDescent="0.3">
      <c r="G87" s="11"/>
      <c r="H87" s="11" t="s">
        <v>92</v>
      </c>
    </row>
    <row r="88" spans="3:13" ht="14.25" customHeight="1" x14ac:dyDescent="0.3">
      <c r="G88" s="15"/>
      <c r="H88" s="15"/>
    </row>
    <row r="89" spans="3:13" ht="14.25" customHeight="1" x14ac:dyDescent="0.3">
      <c r="G89" s="15"/>
      <c r="H89" s="11" t="s">
        <v>93</v>
      </c>
    </row>
    <row r="90" spans="3:13" ht="14.25" customHeight="1" x14ac:dyDescent="0.3">
      <c r="G90" s="15"/>
      <c r="H90" s="15" t="s">
        <v>142</v>
      </c>
    </row>
    <row r="91" spans="3:13" ht="14.25" customHeight="1" x14ac:dyDescent="0.3">
      <c r="G91" s="11" t="s">
        <v>95</v>
      </c>
      <c r="H91" s="25">
        <f>-((0.33*LOG(0.33,2))+(0.66*LOG(0.66,2)))</f>
        <v>0.92346744971210848</v>
      </c>
    </row>
    <row r="92" spans="3:13" ht="14.25" customHeight="1" x14ac:dyDescent="0.3">
      <c r="G92" s="15"/>
      <c r="H92" s="15"/>
    </row>
    <row r="93" spans="3:13" ht="14.25" customHeight="1" x14ac:dyDescent="0.3">
      <c r="G93" s="9" t="s">
        <v>24</v>
      </c>
      <c r="H93" s="9" t="s">
        <v>115</v>
      </c>
    </row>
    <row r="94" spans="3:13" ht="14.25" customHeight="1" x14ac:dyDescent="0.3">
      <c r="G94" s="11"/>
      <c r="H94" s="11" t="s">
        <v>143</v>
      </c>
    </row>
    <row r="95" spans="3:13" ht="14.25" customHeight="1" x14ac:dyDescent="0.3">
      <c r="G95" s="11"/>
      <c r="H95" s="11" t="s">
        <v>144</v>
      </c>
    </row>
    <row r="96" spans="3:13" ht="14.25" customHeight="1" x14ac:dyDescent="0.3">
      <c r="G96" s="11"/>
      <c r="H96" s="11" t="s">
        <v>145</v>
      </c>
    </row>
    <row r="97" spans="3:8" ht="14.25" customHeight="1" x14ac:dyDescent="0.3">
      <c r="G97" s="11"/>
      <c r="H97" s="11" t="s">
        <v>119</v>
      </c>
    </row>
    <row r="98" spans="3:8" ht="14.25" customHeight="1" x14ac:dyDescent="0.3">
      <c r="G98" s="15"/>
      <c r="H98" s="15">
        <f>-((0.5*LOG(0.5,2))+(0.5*LOG(0.5,2)))</f>
        <v>1</v>
      </c>
    </row>
    <row r="99" spans="3:8" ht="14.25" customHeight="1" x14ac:dyDescent="0.3">
      <c r="G99" s="11" t="s">
        <v>121</v>
      </c>
      <c r="H99" s="17">
        <v>1</v>
      </c>
    </row>
    <row r="100" spans="3:8" ht="14.25" customHeight="1" x14ac:dyDescent="0.3">
      <c r="G100" s="11" t="s">
        <v>31</v>
      </c>
      <c r="H100" s="20">
        <f>4/6</f>
        <v>0.66666666666666663</v>
      </c>
    </row>
    <row r="101" spans="3:8" ht="14.25" customHeight="1" x14ac:dyDescent="0.3">
      <c r="G101" s="11" t="s">
        <v>122</v>
      </c>
      <c r="H101" s="20">
        <f>H99*H100</f>
        <v>0.66666666666666663</v>
      </c>
    </row>
    <row r="102" spans="3:8" ht="14.25" customHeight="1" x14ac:dyDescent="0.3">
      <c r="G102" s="11"/>
      <c r="H102" s="11" t="s">
        <v>124</v>
      </c>
    </row>
    <row r="103" spans="3:8" ht="14.25" customHeight="1" x14ac:dyDescent="0.3">
      <c r="G103" s="15"/>
      <c r="H103" s="15" t="e">
        <f>-(((1)*LOG(1,2))+(0*LOG(0,2)))</f>
        <v>#NUM!</v>
      </c>
    </row>
    <row r="104" spans="3:8" ht="14.25" customHeight="1" x14ac:dyDescent="0.3">
      <c r="G104" s="11" t="s">
        <v>146</v>
      </c>
      <c r="H104" s="17">
        <v>0</v>
      </c>
    </row>
    <row r="105" spans="3:8" ht="14.25" customHeight="1" x14ac:dyDescent="0.3">
      <c r="G105" s="11" t="s">
        <v>31</v>
      </c>
      <c r="H105" s="20">
        <f>2/6</f>
        <v>0.33333333333333331</v>
      </c>
    </row>
    <row r="106" spans="3:8" ht="14.25" customHeight="1" x14ac:dyDescent="0.3">
      <c r="G106" s="11" t="s">
        <v>125</v>
      </c>
      <c r="H106" s="15">
        <f>H104*H105</f>
        <v>0</v>
      </c>
    </row>
    <row r="107" spans="3:8" ht="14.25" customHeight="1" x14ac:dyDescent="0.3">
      <c r="G107" s="11" t="s">
        <v>127</v>
      </c>
      <c r="H107" s="11" t="s">
        <v>128</v>
      </c>
    </row>
    <row r="108" spans="3:8" ht="14.25" customHeight="1" x14ac:dyDescent="0.3">
      <c r="G108" s="15"/>
      <c r="H108" s="20">
        <f>H101+H106</f>
        <v>0.66666666666666663</v>
      </c>
    </row>
    <row r="109" spans="3:8" ht="14.25" customHeight="1" x14ac:dyDescent="0.3">
      <c r="G109" s="11" t="s">
        <v>129</v>
      </c>
      <c r="H109" s="11" t="s">
        <v>130</v>
      </c>
    </row>
    <row r="110" spans="3:8" ht="14.25" customHeight="1" x14ac:dyDescent="0.3">
      <c r="G110" s="15"/>
      <c r="H110" s="20">
        <f>H91-H108</f>
        <v>0.25680078304544185</v>
      </c>
    </row>
    <row r="111" spans="3:8" ht="14.25" customHeight="1" x14ac:dyDescent="0.3">
      <c r="C111" s="1" t="s">
        <v>147</v>
      </c>
      <c r="D111" s="1" t="s">
        <v>7</v>
      </c>
      <c r="E111" s="1" t="s">
        <v>12</v>
      </c>
      <c r="G111" s="9" t="s">
        <v>24</v>
      </c>
      <c r="H111" s="9" t="s">
        <v>148</v>
      </c>
    </row>
    <row r="112" spans="3:8" ht="14.25" customHeight="1" x14ac:dyDescent="0.3">
      <c r="C112" s="1" t="s">
        <v>86</v>
      </c>
      <c r="D112" s="1">
        <v>0</v>
      </c>
      <c r="E112" s="1">
        <v>4</v>
      </c>
      <c r="G112" s="11"/>
      <c r="H112" s="11" t="s">
        <v>149</v>
      </c>
    </row>
    <row r="113" spans="3:8" ht="14.25" customHeight="1" x14ac:dyDescent="0.3">
      <c r="C113" s="1" t="s">
        <v>87</v>
      </c>
      <c r="D113" s="1">
        <v>2</v>
      </c>
      <c r="E113" s="1">
        <v>0</v>
      </c>
      <c r="G113" s="11"/>
      <c r="H113" s="11" t="s">
        <v>150</v>
      </c>
    </row>
    <row r="114" spans="3:8" ht="14.25" customHeight="1" x14ac:dyDescent="0.3">
      <c r="G114" s="11"/>
      <c r="H114" s="11" t="s">
        <v>145</v>
      </c>
    </row>
    <row r="115" spans="3:8" ht="14.25" customHeight="1" x14ac:dyDescent="0.3">
      <c r="G115" s="11"/>
      <c r="H115" s="11" t="s">
        <v>119</v>
      </c>
    </row>
    <row r="116" spans="3:8" ht="14.25" customHeight="1" x14ac:dyDescent="0.3">
      <c r="G116" s="15"/>
      <c r="H116" s="15" t="e">
        <f>-((0*LOG(0,2))+(1*LOG(1,2)))</f>
        <v>#NUM!</v>
      </c>
    </row>
    <row r="117" spans="3:8" ht="14.25" customHeight="1" x14ac:dyDescent="0.3">
      <c r="G117" s="11" t="s">
        <v>121</v>
      </c>
      <c r="H117" s="17">
        <v>0</v>
      </c>
    </row>
    <row r="118" spans="3:8" ht="14.25" customHeight="1" x14ac:dyDescent="0.3">
      <c r="G118" s="11" t="s">
        <v>31</v>
      </c>
      <c r="H118" s="20">
        <f>4/6</f>
        <v>0.66666666666666663</v>
      </c>
    </row>
    <row r="119" spans="3:8" ht="14.25" customHeight="1" x14ac:dyDescent="0.3">
      <c r="G119" s="11" t="s">
        <v>122</v>
      </c>
      <c r="H119" s="20">
        <f>H117*H118</f>
        <v>0</v>
      </c>
    </row>
    <row r="120" spans="3:8" ht="14.25" customHeight="1" x14ac:dyDescent="0.3">
      <c r="G120" s="11"/>
      <c r="H120" s="11" t="s">
        <v>124</v>
      </c>
    </row>
    <row r="121" spans="3:8" ht="14.25" customHeight="1" x14ac:dyDescent="0.3">
      <c r="G121" s="15"/>
      <c r="H121" s="15" t="e">
        <f>-(((1)*LOG(1,2))+(0*LOG(0,2)))</f>
        <v>#NUM!</v>
      </c>
    </row>
    <row r="122" spans="3:8" ht="14.25" customHeight="1" x14ac:dyDescent="0.3">
      <c r="G122" s="11" t="s">
        <v>146</v>
      </c>
      <c r="H122" s="17">
        <v>0</v>
      </c>
    </row>
    <row r="123" spans="3:8" ht="14.25" customHeight="1" x14ac:dyDescent="0.3">
      <c r="G123" s="11" t="s">
        <v>31</v>
      </c>
      <c r="H123" s="20">
        <f>2/6</f>
        <v>0.33333333333333331</v>
      </c>
    </row>
    <row r="124" spans="3:8" ht="14.25" customHeight="1" x14ac:dyDescent="0.3">
      <c r="G124" s="11" t="s">
        <v>125</v>
      </c>
      <c r="H124" s="15">
        <f>H122*H123</f>
        <v>0</v>
      </c>
    </row>
    <row r="125" spans="3:8" ht="14.25" customHeight="1" x14ac:dyDescent="0.3">
      <c r="G125" s="11" t="s">
        <v>149</v>
      </c>
      <c r="H125" s="11" t="s">
        <v>128</v>
      </c>
    </row>
    <row r="126" spans="3:8" ht="14.25" customHeight="1" x14ac:dyDescent="0.3">
      <c r="G126" s="15"/>
      <c r="H126" s="20">
        <f>H119+H124</f>
        <v>0</v>
      </c>
    </row>
    <row r="127" spans="3:8" ht="14.25" customHeight="1" x14ac:dyDescent="0.3">
      <c r="G127" s="11" t="s">
        <v>151</v>
      </c>
      <c r="H127" s="11" t="s">
        <v>152</v>
      </c>
    </row>
    <row r="128" spans="3:8" ht="14.25" customHeight="1" x14ac:dyDescent="0.3">
      <c r="G128" s="15"/>
      <c r="H128" s="20">
        <f>H91-H126</f>
        <v>0.92346744971210848</v>
      </c>
    </row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9">
    <mergeCell ref="M9:M11"/>
    <mergeCell ref="M69:N69"/>
    <mergeCell ref="J3:J5"/>
    <mergeCell ref="K3:K5"/>
    <mergeCell ref="L3:L5"/>
    <mergeCell ref="M3:M5"/>
    <mergeCell ref="J9:J11"/>
    <mergeCell ref="K9:K11"/>
    <mergeCell ref="L9:L11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 Example</vt:lpstr>
      <vt:lpstr>Example 1</vt:lpstr>
      <vt:lpstr>Example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R PRABU INDEKTRA</dc:creator>
  <cp:lastModifiedBy>Geetha Kottur Raju</cp:lastModifiedBy>
  <dcterms:created xsi:type="dcterms:W3CDTF">2015-06-05T18:17:20Z</dcterms:created>
  <dcterms:modified xsi:type="dcterms:W3CDTF">2024-11-10T01:32:24Z</dcterms:modified>
</cp:coreProperties>
</file>